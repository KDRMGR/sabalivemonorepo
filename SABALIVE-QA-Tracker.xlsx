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App" sheetId="3" state="visible" r:id="rId3"/>
    <sheet name="Panel" sheetId="4" state="visible" r:id="rId4"/>
    <sheet name="Lists" sheetId="5" state="visible" r:id="rId5"/>
  </sheets>
  <definedNames>
    <definedName name="_xlnm._FilterDatabase" localSheetId="2" hidden="1">'App'!$A$1:$R$31</definedName>
    <definedName name="_xlnm._FilterDatabase" localSheetId="3" hidden="1">'Panel'!$A$1:$S$18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B1F6B"/>
      <sz val="14"/>
    </font>
    <font>
      <name val="Arial"/>
      <b val="1"/>
      <sz val="10"/>
    </font>
    <font>
      <name val="Arial"/>
      <sz val="10"/>
    </font>
    <font>
      <name val="Arial"/>
      <b val="1"/>
      <color rgb="00FFFFFF"/>
      <sz val="10"/>
    </font>
    <font>
      <name val="Arial"/>
      <i val="1"/>
      <sz val="9"/>
    </font>
  </fonts>
  <fills count="3">
    <fill>
      <patternFill/>
    </fill>
    <fill>
      <patternFill patternType="gray125"/>
    </fill>
    <fill>
      <patternFill patternType="solid">
        <fgColor rgb="003B1F6B"/>
      </patternFill>
    </fill>
  </fills>
  <borders count="2">
    <border>
      <left/>
      <right/>
      <top/>
      <bottom/>
      <diagonal/>
    </border>
    <border>
      <left style="thin">
        <color rgb="00D0C8E0"/>
      </left>
      <right style="thin">
        <color rgb="00D0C8E0"/>
      </right>
      <top style="thin">
        <color rgb="00D0C8E0"/>
      </top>
      <bottom style="thin">
        <color rgb="00D0C8E0"/>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xf>
    <xf numFmtId="0" fontId="3" fillId="0" borderId="1" pivotButton="0" quotePrefix="0" xfId="0"/>
    <xf numFmtId="0" fontId="2" fillId="0" borderId="1" pivotButton="0" quotePrefix="0" xfId="0"/>
    <xf numFmtId="0" fontId="2" fillId="0" borderId="0" pivotButton="0" quotePrefix="0" xfId="0"/>
    <xf numFmtId="0" fontId="5" fillId="0" borderId="0" pivotButton="0" quotePrefix="0" xfId="0"/>
    <xf numFmtId="0" fontId="4" fillId="2" borderId="1" applyAlignment="1" pivotButton="0" quotePrefix="0" xfId="0">
      <alignment horizontal="center" vertical="center" wrapText="1"/>
    </xf>
    <xf numFmtId="0" fontId="3" fillId="0" borderId="1" applyAlignment="1" pivotButton="0" quotePrefix="0" xfId="0">
      <alignment horizontal="center" vertical="top" wrapText="1"/>
    </xf>
    <xf numFmtId="0" fontId="3" fillId="0" borderId="1" applyAlignment="1" pivotButton="0" quotePrefix="0" xfId="0">
      <alignment vertical="top" wrapText="1"/>
    </xf>
    <xf numFmtId="0" fontId="4" fillId="2" borderId="0" pivotButton="0" quotePrefix="0" xfId="0"/>
    <xf numFmtId="0" fontId="3" fillId="0" borderId="0" pivotButton="0" quotePrefix="0" xfId="0"/>
  </cellXfs>
  <cellStyles count="1">
    <cellStyle name="Normal" xfId="0" builtinId="0" hidden="0"/>
  </cellStyles>
  <dxfs count="6">
    <dxf>
      <fill>
        <patternFill patternType="solid">
          <fgColor rgb="00F8B4B4"/>
          <bgColor rgb="00F8B4B4"/>
        </patternFill>
      </fill>
    </dxf>
    <dxf>
      <fill>
        <patternFill patternType="solid">
          <fgColor rgb="00FAD7A0"/>
          <bgColor rgb="00FAD7A0"/>
        </patternFill>
      </fill>
    </dxf>
    <dxf>
      <fill>
        <patternFill patternType="solid">
          <fgColor rgb="00FCF3CF"/>
          <bgColor rgb="00FCF3CF"/>
        </patternFill>
      </fill>
    </dxf>
    <dxf>
      <fill>
        <patternFill patternType="solid">
          <fgColor rgb="00E5E8E8"/>
          <bgColor rgb="00E5E8E8"/>
        </patternFill>
      </fill>
    </dxf>
    <dxf>
      <fill>
        <patternFill patternType="solid">
          <fgColor rgb="00D5F5E3"/>
          <bgColor rgb="00D5F5E3"/>
        </patternFill>
      </fill>
    </dxf>
    <dxf>
      <fill>
        <patternFill patternType="solid">
          <fgColor rgb="00FDEBD0"/>
          <bgColor rgb="00FDEB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16"/>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2">
      <c r="B2" s="1" t="inlineStr">
        <is>
          <t>SABALIVE QA tracker</t>
        </is>
      </c>
    </row>
    <row r="4">
      <c r="B4" s="2" t="inlineStr">
        <is>
          <t>What this is</t>
        </is>
      </c>
      <c r="C4" s="3" t="inlineStr">
        <is>
          <t>One row per issue or fix. The App tab covers the Flutter app (Android and iOS). The Panel tab covers the admin panel. Summary counts everything automatically.</t>
        </is>
      </c>
    </row>
    <row r="5">
      <c r="B5" s="2" t="inlineStr">
        <is>
          <t>Where to type</t>
        </is>
      </c>
      <c r="C5" s="3" t="inlineStr">
        <is>
          <t>Add new rows at the bottom of App or Panel. Type in any cell of a row, or pick from the dropdown in Type, Severity, Status, Source and Fix needs. Leave Summary and Lists alone unless you are changing a dropdown.</t>
        </is>
      </c>
    </row>
    <row r="6">
      <c r="B6" s="2" t="inlineStr">
        <is>
          <t>Sr no</t>
        </is>
      </c>
      <c r="C6" s="3" t="inlineStr">
        <is>
          <t>Numbers each row. Copy the last number + 1 for a new row.</t>
        </is>
      </c>
    </row>
    <row r="7">
      <c r="B7" s="2" t="inlineStr">
        <is>
          <t>Reported by / Source</t>
        </is>
      </c>
      <c r="C7" s="3" t="inlineStr">
        <is>
          <t>Reported by = the person or party. Source = how it reached you: Owner, Play user, Play Console, App Review, QA tester, Panel user, Investigation.</t>
        </is>
      </c>
    </row>
    <row r="8">
      <c r="B8" s="2" t="inlineStr">
        <is>
          <t>Type</t>
        </is>
      </c>
      <c r="C8" s="3" t="inlineStr">
        <is>
          <t>Bug, Fix, Improvement, Security, Policy, Build/Infra, Question.</t>
        </is>
      </c>
    </row>
    <row r="9">
      <c r="B9" s="2" t="inlineStr">
        <is>
          <t>Severity</t>
        </is>
      </c>
      <c r="C9" s="3" t="inlineStr">
        <is>
          <t>Critical = crash, lost money or data, security, or everyone blocked. High = a main feature broken. Medium = a feature degraded. Low = cosmetic.</t>
        </is>
      </c>
    </row>
    <row r="10">
      <c r="B10" s="2" t="inlineStr">
        <is>
          <t>Status flow</t>
        </is>
      </c>
      <c r="C10" s="3" t="inlineStr">
        <is>
          <t>New &gt; Confirmed &gt; In progress &gt; Fixed (in code) &gt; Released &gt; Verified &gt; Closed. Side exits: Needs decision, Can't reproduce, Won't fix. 'Fixed (in code)' means the change exists but users do not have it yet.</t>
        </is>
      </c>
    </row>
    <row r="11">
      <c r="B11" s="2" t="inlineStr">
        <is>
          <t>Fix needs</t>
        </is>
      </c>
      <c r="C11" s="3" t="inlineStr">
        <is>
          <t>What must happen for users to get the fix: Database migration, Edge function, App build, Panel deploy, Store / console action, or Decision. Combine in the cell when more than one applies.</t>
        </is>
      </c>
    </row>
    <row r="12">
      <c r="B12" s="2" t="inlineStr">
        <is>
          <t>Fixed in</t>
        </is>
      </c>
      <c r="C12" s="3" t="inlineStr">
        <is>
          <t>App version (for example 1.0.0+8) or a git commit. For database fixes, the migration number.</t>
        </is>
      </c>
    </row>
    <row r="13">
      <c r="B13" s="2" t="inlineStr">
        <is>
          <t>Verified by / date</t>
        </is>
      </c>
      <c r="C13" s="3" t="inlineStr">
        <is>
          <t>Who retested, on which build, and when. A fix is not done until a person has seen it work.</t>
        </is>
      </c>
    </row>
    <row r="14">
      <c r="B14" s="2" t="inlineStr">
        <is>
          <t>Environment</t>
        </is>
      </c>
      <c r="C14" s="3" t="inlineStr">
        <is>
          <t>App tab: device model, Android/iOS version, app version and code. Many bugs only appear on one OS version (the back-gesture bug only on Android 16).</t>
        </is>
      </c>
    </row>
    <row r="15">
      <c r="B15" s="2" t="inlineStr">
        <is>
          <t>Role affected</t>
        </is>
      </c>
      <c r="C15" s="3" t="inlineStr">
        <is>
          <t>Panel tab: Super Admin, Master, Global, Country, Sub or Agency. Many panel bugs affect one role only.</t>
        </is>
      </c>
    </row>
    <row r="16">
      <c r="B16" s="2" t="inlineStr">
        <is>
          <t>Pre-filled rows</t>
        </is>
      </c>
      <c r="C16" s="3" t="inlineStr">
        <is>
          <t>The rows already here are the real issues from the October 2026 work, so you can see the format. Dates were left blank where they were not known. Statuses reflect the code and database at the time of writing; nothing marked 'Fixed (in code)' on the App tab has reached the Play Store unless Released is shown.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25"/>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4" customWidth="1" min="5" max="5"/>
  </cols>
  <sheetData>
    <row r="2">
      <c r="B2" s="1" t="inlineStr">
        <is>
          <t>Summary (updates by itself)</t>
        </is>
      </c>
    </row>
    <row r="4">
      <c r="B4" s="4" t="inlineStr">
        <is>
          <t>Status</t>
        </is>
      </c>
      <c r="C4" s="4" t="inlineStr">
        <is>
          <t>App</t>
        </is>
      </c>
      <c r="D4" s="4" t="inlineStr">
        <is>
          <t>Panel</t>
        </is>
      </c>
      <c r="E4" s="4" t="inlineStr">
        <is>
          <t>Total</t>
        </is>
      </c>
    </row>
    <row r="5">
      <c r="B5" s="5">
        <f>Lists!C2</f>
        <v/>
      </c>
      <c r="C5" s="5">
        <f>COUNTIF(App!$M$2:$M$400,B5)</f>
        <v/>
      </c>
      <c r="D5" s="5">
        <f>COUNTIF(Panel!$N$2:$N$400,B5)</f>
        <v/>
      </c>
      <c r="E5" s="5">
        <f>C5+D5</f>
        <v/>
      </c>
    </row>
    <row r="6">
      <c r="B6" s="5">
        <f>Lists!C3</f>
        <v/>
      </c>
      <c r="C6" s="5">
        <f>COUNTIF(App!$M$2:$M$400,B6)</f>
        <v/>
      </c>
      <c r="D6" s="5">
        <f>COUNTIF(Panel!$N$2:$N$400,B6)</f>
        <v/>
      </c>
      <c r="E6" s="5">
        <f>C6+D6</f>
        <v/>
      </c>
    </row>
    <row r="7">
      <c r="B7" s="5">
        <f>Lists!C4</f>
        <v/>
      </c>
      <c r="C7" s="5">
        <f>COUNTIF(App!$M$2:$M$400,B7)</f>
        <v/>
      </c>
      <c r="D7" s="5">
        <f>COUNTIF(Panel!$N$2:$N$400,B7)</f>
        <v/>
      </c>
      <c r="E7" s="5">
        <f>C7+D7</f>
        <v/>
      </c>
    </row>
    <row r="8">
      <c r="B8" s="5">
        <f>Lists!C5</f>
        <v/>
      </c>
      <c r="C8" s="5">
        <f>COUNTIF(App!$M$2:$M$400,B8)</f>
        <v/>
      </c>
      <c r="D8" s="5">
        <f>COUNTIF(Panel!$N$2:$N$400,B8)</f>
        <v/>
      </c>
      <c r="E8" s="5">
        <f>C8+D8</f>
        <v/>
      </c>
    </row>
    <row r="9">
      <c r="B9" s="5">
        <f>Lists!C6</f>
        <v/>
      </c>
      <c r="C9" s="5">
        <f>COUNTIF(App!$M$2:$M$400,B9)</f>
        <v/>
      </c>
      <c r="D9" s="5">
        <f>COUNTIF(Panel!$N$2:$N$400,B9)</f>
        <v/>
      </c>
      <c r="E9" s="5">
        <f>C9+D9</f>
        <v/>
      </c>
    </row>
    <row r="10">
      <c r="B10" s="5">
        <f>Lists!C7</f>
        <v/>
      </c>
      <c r="C10" s="5">
        <f>COUNTIF(App!$M$2:$M$400,B10)</f>
        <v/>
      </c>
      <c r="D10" s="5">
        <f>COUNTIF(Panel!$N$2:$N$400,B10)</f>
        <v/>
      </c>
      <c r="E10" s="5">
        <f>C10+D10</f>
        <v/>
      </c>
    </row>
    <row r="11">
      <c r="B11" s="5">
        <f>Lists!C8</f>
        <v/>
      </c>
      <c r="C11" s="5">
        <f>COUNTIF(App!$M$2:$M$400,B11)</f>
        <v/>
      </c>
      <c r="D11" s="5">
        <f>COUNTIF(Panel!$N$2:$N$400,B11)</f>
        <v/>
      </c>
      <c r="E11" s="5">
        <f>C11+D11</f>
        <v/>
      </c>
    </row>
    <row r="12">
      <c r="B12" s="5">
        <f>Lists!C9</f>
        <v/>
      </c>
      <c r="C12" s="5">
        <f>COUNTIF(App!$M$2:$M$400,B12)</f>
        <v/>
      </c>
      <c r="D12" s="5">
        <f>COUNTIF(Panel!$N$2:$N$400,B12)</f>
        <v/>
      </c>
      <c r="E12" s="5">
        <f>C12+D12</f>
        <v/>
      </c>
    </row>
    <row r="13">
      <c r="B13" s="5">
        <f>Lists!C10</f>
        <v/>
      </c>
      <c r="C13" s="5">
        <f>COUNTIF(App!$M$2:$M$400,B13)</f>
        <v/>
      </c>
      <c r="D13" s="5">
        <f>COUNTIF(Panel!$N$2:$N$400,B13)</f>
        <v/>
      </c>
      <c r="E13" s="5">
        <f>C13+D13</f>
        <v/>
      </c>
    </row>
    <row r="14">
      <c r="B14" s="5">
        <f>Lists!C11</f>
        <v/>
      </c>
      <c r="C14" s="5">
        <f>COUNTIF(App!$M$2:$M$400,B14)</f>
        <v/>
      </c>
      <c r="D14" s="5">
        <f>COUNTIF(Panel!$N$2:$N$400,B14)</f>
        <v/>
      </c>
      <c r="E14" s="5">
        <f>C14+D14</f>
        <v/>
      </c>
    </row>
    <row r="15">
      <c r="B15" s="6" t="inlineStr">
        <is>
          <t>All rows</t>
        </is>
      </c>
      <c r="C15" s="6">
        <f>SUM(C5:C14)</f>
        <v/>
      </c>
      <c r="D15" s="6">
        <f>SUM(D5:D14)</f>
        <v/>
      </c>
      <c r="E15" s="6">
        <f>SUM(E5:E14)</f>
        <v/>
      </c>
    </row>
    <row r="17">
      <c r="B17" s="7" t="inlineStr">
        <is>
          <t>Open items by severity</t>
        </is>
      </c>
    </row>
    <row r="18">
      <c r="B18" s="4" t="inlineStr">
        <is>
          <t>Severity</t>
        </is>
      </c>
      <c r="C18" s="4" t="inlineStr">
        <is>
          <t>App</t>
        </is>
      </c>
      <c r="D18" s="4" t="inlineStr">
        <is>
          <t>Panel</t>
        </is>
      </c>
      <c r="E18" s="4" t="inlineStr">
        <is>
          <t>Total</t>
        </is>
      </c>
    </row>
    <row r="19">
      <c r="B19" s="5">
        <f>Lists!B2</f>
        <v/>
      </c>
      <c r="C19" s="5">
        <f>COUNTIFS(App!$G$2:$G$400,$B19,App!$M$2:$M$400,"New")+COUNTIFS(App!$G$2:$G$400,$B19,App!$M$2:$M$400,"Confirmed")+COUNTIFS(App!$G$2:$G$400,$B19,App!$M$2:$M$400,"In progress")+COUNTIFS(App!$G$2:$G$400,$B19,App!$M$2:$M$400,"Needs decision")+COUNTIFS(App!$G$2:$G$400,$B19,App!$M$2:$M$400,"Can't reproduce")</f>
        <v/>
      </c>
      <c r="D19" s="5">
        <f>COUNTIFS(Panel!$G$2:$G$400,$B19,Panel!$N$2:$N$400,"New")+COUNTIFS(Panel!$G$2:$G$400,$B19,Panel!$N$2:$N$400,"Confirmed")+COUNTIFS(Panel!$G$2:$G$400,$B19,Panel!$N$2:$N$400,"In progress")+COUNTIFS(Panel!$G$2:$G$400,$B19,Panel!$N$2:$N$400,"Needs decision")+COUNTIFS(Panel!$G$2:$G$400,$B19,Panel!$N$2:$N$400,"Can't reproduce")</f>
        <v/>
      </c>
      <c r="E19" s="5">
        <f>C19+D19</f>
        <v/>
      </c>
    </row>
    <row r="20">
      <c r="B20" s="5">
        <f>Lists!B3</f>
        <v/>
      </c>
      <c r="C20" s="5">
        <f>COUNTIFS(App!$G$2:$G$400,$B20,App!$M$2:$M$400,"New")+COUNTIFS(App!$G$2:$G$400,$B20,App!$M$2:$M$400,"Confirmed")+COUNTIFS(App!$G$2:$G$400,$B20,App!$M$2:$M$400,"In progress")+COUNTIFS(App!$G$2:$G$400,$B20,App!$M$2:$M$400,"Needs decision")+COUNTIFS(App!$G$2:$G$400,$B20,App!$M$2:$M$400,"Can't reproduce")</f>
        <v/>
      </c>
      <c r="D20" s="5">
        <f>COUNTIFS(Panel!$G$2:$G$400,$B20,Panel!$N$2:$N$400,"New")+COUNTIFS(Panel!$G$2:$G$400,$B20,Panel!$N$2:$N$400,"Confirmed")+COUNTIFS(Panel!$G$2:$G$400,$B20,Panel!$N$2:$N$400,"In progress")+COUNTIFS(Panel!$G$2:$G$400,$B20,Panel!$N$2:$N$400,"Needs decision")+COUNTIFS(Panel!$G$2:$G$400,$B20,Panel!$N$2:$N$400,"Can't reproduce")</f>
        <v/>
      </c>
      <c r="E20" s="5">
        <f>C20+D20</f>
        <v/>
      </c>
    </row>
    <row r="21">
      <c r="B21" s="5">
        <f>Lists!B4</f>
        <v/>
      </c>
      <c r="C21" s="5">
        <f>COUNTIFS(App!$G$2:$G$400,$B21,App!$M$2:$M$400,"New")+COUNTIFS(App!$G$2:$G$400,$B21,App!$M$2:$M$400,"Confirmed")+COUNTIFS(App!$G$2:$G$400,$B21,App!$M$2:$M$400,"In progress")+COUNTIFS(App!$G$2:$G$400,$B21,App!$M$2:$M$400,"Needs decision")+COUNTIFS(App!$G$2:$G$400,$B21,App!$M$2:$M$400,"Can't reproduce")</f>
        <v/>
      </c>
      <c r="D21" s="5">
        <f>COUNTIFS(Panel!$G$2:$G$400,$B21,Panel!$N$2:$N$400,"New")+COUNTIFS(Panel!$G$2:$G$400,$B21,Panel!$N$2:$N$400,"Confirmed")+COUNTIFS(Panel!$G$2:$G$400,$B21,Panel!$N$2:$N$400,"In progress")+COUNTIFS(Panel!$G$2:$G$400,$B21,Panel!$N$2:$N$400,"Needs decision")+COUNTIFS(Panel!$G$2:$G$400,$B21,Panel!$N$2:$N$400,"Can't reproduce")</f>
        <v/>
      </c>
      <c r="E21" s="5">
        <f>C21+D21</f>
        <v/>
      </c>
    </row>
    <row r="22">
      <c r="B22" s="5">
        <f>Lists!B5</f>
        <v/>
      </c>
      <c r="C22" s="5">
        <f>COUNTIFS(App!$G$2:$G$400,$B22,App!$M$2:$M$400,"New")+COUNTIFS(App!$G$2:$G$400,$B22,App!$M$2:$M$400,"Confirmed")+COUNTIFS(App!$G$2:$G$400,$B22,App!$M$2:$M$400,"In progress")+COUNTIFS(App!$G$2:$G$400,$B22,App!$M$2:$M$400,"Needs decision")+COUNTIFS(App!$G$2:$G$400,$B22,App!$M$2:$M$400,"Can't reproduce")</f>
        <v/>
      </c>
      <c r="D22" s="5">
        <f>COUNTIFS(Panel!$G$2:$G$400,$B22,Panel!$N$2:$N$400,"New")+COUNTIFS(Panel!$G$2:$G$400,$B22,Panel!$N$2:$N$400,"Confirmed")+COUNTIFS(Panel!$G$2:$G$400,$B22,Panel!$N$2:$N$400,"In progress")+COUNTIFS(Panel!$G$2:$G$400,$B22,Panel!$N$2:$N$400,"Needs decision")+COUNTIFS(Panel!$G$2:$G$400,$B22,Panel!$N$2:$N$400,"Can't reproduce")</f>
        <v/>
      </c>
      <c r="E22" s="5">
        <f>C22+D22</f>
        <v/>
      </c>
    </row>
    <row r="23">
      <c r="B23" s="6" t="inlineStr">
        <is>
          <t>Open items</t>
        </is>
      </c>
      <c r="C23" s="6">
        <f>SUM(C19:C22)</f>
        <v/>
      </c>
      <c r="D23" s="6">
        <f>SUM(D19:D22)</f>
        <v/>
      </c>
      <c r="E23" s="6">
        <f>SUM(E19:E22)</f>
        <v/>
      </c>
    </row>
    <row r="25">
      <c r="B25" s="8" t="inlineStr">
        <is>
          <t>Open = New, Confirmed, In progress, Needs decision, Can't reproduce.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14" customWidth="1" min="3" max="3"/>
    <col width="14" customWidth="1" min="4" max="4"/>
    <col width="24" customWidth="1" min="5" max="5"/>
    <col width="13" customWidth="1" min="6" max="6"/>
    <col width="10" customWidth="1" min="7" max="7"/>
    <col width="62" customWidth="1" min="8" max="8"/>
    <col width="30" customWidth="1" min="9" max="9"/>
    <col width="32" customWidth="1" min="10" max="10"/>
    <col width="26" customWidth="1" min="11" max="11"/>
    <col width="22" customWidth="1" min="12" max="12"/>
    <col width="15" customWidth="1" min="13" max="13"/>
    <col width="13" customWidth="1" min="14" max="14"/>
    <col width="24" customWidth="1" min="15" max="15"/>
    <col width="18" customWidth="1" min="16" max="16"/>
    <col width="20" customWidth="1" min="17" max="17"/>
    <col width="44" customWidth="1" min="18" max="18"/>
  </cols>
  <sheetData>
    <row r="1" ht="34" customHeight="1">
      <c r="A1" s="9" t="inlineStr">
        <is>
          <t>Sr no</t>
        </is>
      </c>
      <c r="B1" s="9" t="inlineStr">
        <is>
          <t>Date reported</t>
        </is>
      </c>
      <c r="C1" s="9" t="inlineStr">
        <is>
          <t>Reported by</t>
        </is>
      </c>
      <c r="D1" s="9" t="inlineStr">
        <is>
          <t>Source</t>
        </is>
      </c>
      <c r="E1" s="9" t="inlineStr">
        <is>
          <t>Module / screen</t>
        </is>
      </c>
      <c r="F1" s="9" t="inlineStr">
        <is>
          <t>Type</t>
        </is>
      </c>
      <c r="G1" s="9" t="inlineStr">
        <is>
          <t>Severity</t>
        </is>
      </c>
      <c r="H1" s="9" t="inlineStr">
        <is>
          <t>Issue / Fix</t>
        </is>
      </c>
      <c r="I1" s="9" t="inlineStr">
        <is>
          <t>Steps to reproduce</t>
        </is>
      </c>
      <c r="J1" s="9" t="inlineStr">
        <is>
          <t>Expected vs actual</t>
        </is>
      </c>
      <c r="K1" s="9" t="inlineStr">
        <is>
          <t>Environment (device, OS, app version)</t>
        </is>
      </c>
      <c r="L1" s="9" t="inlineStr">
        <is>
          <t>Evidence (link)</t>
        </is>
      </c>
      <c r="M1" s="9" t="inlineStr">
        <is>
          <t>Status</t>
        </is>
      </c>
      <c r="N1" s="9" t="inlineStr">
        <is>
          <t>Assigned to</t>
        </is>
      </c>
      <c r="O1" s="9" t="inlineStr">
        <is>
          <t>Fixed in (version / commit)</t>
        </is>
      </c>
      <c r="P1" s="9" t="inlineStr">
        <is>
          <t>Fix needs</t>
        </is>
      </c>
      <c r="Q1" s="9" t="inlineStr">
        <is>
          <t>Verified by / date</t>
        </is>
      </c>
      <c r="R1" s="9" t="inlineStr">
        <is>
          <t>Notes / root cause</t>
        </is>
      </c>
    </row>
    <row r="2">
      <c r="A2" s="10" t="n">
        <v>1</v>
      </c>
      <c r="B2" s="10" t="inlineStr"/>
      <c r="C2" s="11" t="inlineStr">
        <is>
          <t>Google Play</t>
        </is>
      </c>
      <c r="D2" s="11" t="inlineStr">
        <is>
          <t>Play Console</t>
        </is>
      </c>
      <c r="E2" s="11" t="inlineStr">
        <is>
          <t>Permissions / avatar picker</t>
        </is>
      </c>
      <c r="F2" s="10" t="inlineStr">
        <is>
          <t>Policy</t>
        </is>
      </c>
      <c r="G2" s="10" t="inlineStr">
        <is>
          <t>High</t>
        </is>
      </c>
      <c r="H2" s="11" t="inlineStr">
        <is>
          <t>Play 'Photo and Video Permissions' policy. FIX: removed READ_MEDIA_* / READ_EXTERNAL_STORAGE; the avatar picker now uses Android's system Photo Picker; first-run prompt no longer asks for photos/storage/audio.</t>
        </is>
      </c>
      <c r="I2" s="11" t="inlineStr">
        <is>
          <t>Play Console &gt; Policy status</t>
        </is>
      </c>
      <c r="J2" s="11" t="inlineStr">
        <is>
          <t>Expected: no media permissions declared. Actual: policy issue raised.</t>
        </is>
      </c>
      <c r="K2" s="11" t="inlineStr">
        <is>
          <t>Android, Play build</t>
        </is>
      </c>
      <c r="L2" s="11" t="inlineStr"/>
      <c r="M2" s="11" t="inlineStr">
        <is>
          <t>Fixed (in code)</t>
        </is>
      </c>
      <c r="N2" s="11" t="inlineStr"/>
      <c r="O2" s="11" t="inlineStr">
        <is>
          <t>Committed (Oct 2026 batch)</t>
        </is>
      </c>
      <c r="P2" s="11" t="inlineStr">
        <is>
          <t>App build</t>
        </is>
      </c>
      <c r="Q2" s="11" t="inlineStr"/>
      <c r="R2" s="11" t="inlineStr">
        <is>
          <t>Needs a Play release and re-submission to clear the policy issue.</t>
        </is>
      </c>
    </row>
    <row r="3">
      <c r="A3" s="10" t="n">
        <v>2</v>
      </c>
      <c r="B3" s="10" t="inlineStr"/>
      <c r="C3" s="11" t="inlineStr">
        <is>
          <t>Owner</t>
        </is>
      </c>
      <c r="D3" s="11" t="inlineStr">
        <is>
          <t>Owner</t>
        </is>
      </c>
      <c r="E3" s="11" t="inlineStr">
        <is>
          <t>Live room (host and viewer)</t>
        </is>
      </c>
      <c r="F3" s="10" t="inlineStr">
        <is>
          <t>Bug</t>
        </is>
      </c>
      <c r="G3" s="10" t="inlineStr">
        <is>
          <t>Medium</t>
        </is>
      </c>
      <c r="H3" s="11" t="inlineStr">
        <is>
          <t>Keyboard reopens by itself after using any live option. FIX: unfocus when a route/popup opens over the live; live screens lift manually instead of resizing.</t>
        </is>
      </c>
      <c r="I3" s="11" t="inlineStr">
        <is>
          <t>1. Open chat field in a live. 2. Open any option/sheet. 3. Close it.</t>
        </is>
      </c>
      <c r="J3" s="11" t="inlineStr">
        <is>
          <t>Expected: keyboard stays closed. Actual: keyboard reopens.</t>
        </is>
      </c>
      <c r="K3" s="11" t="inlineStr">
        <is>
          <t>Android APK</t>
        </is>
      </c>
      <c r="L3" s="11" t="inlineStr"/>
      <c r="M3" s="11" t="inlineStr">
        <is>
          <t>Fixed (in code)</t>
        </is>
      </c>
      <c r="N3" s="11" t="inlineStr"/>
      <c r="O3" s="11" t="inlineStr">
        <is>
          <t>ffb3369</t>
        </is>
      </c>
      <c r="P3" s="11" t="inlineStr">
        <is>
          <t>App build</t>
        </is>
      </c>
      <c r="Q3" s="11" t="inlineStr"/>
      <c r="R3" s="11" t="inlineStr">
        <is>
          <t>Test: test/keyboard_focus_test.dart.</t>
        </is>
      </c>
    </row>
    <row r="4">
      <c r="A4" s="10" t="n">
        <v>3</v>
      </c>
      <c r="B4" s="10" t="inlineStr"/>
      <c r="C4" s="11" t="inlineStr">
        <is>
          <t>Owner</t>
        </is>
      </c>
      <c r="D4" s="11" t="inlineStr">
        <is>
          <t>Owner</t>
        </is>
      </c>
      <c r="E4" s="11" t="inlineStr">
        <is>
          <t>Live room (host)</t>
        </is>
      </c>
      <c r="F4" s="10" t="inlineStr">
        <is>
          <t>Bug</t>
        </is>
      </c>
      <c r="G4" s="10" t="inlineStr">
        <is>
          <t>High</t>
        </is>
      </c>
      <c r="H4" s="11" t="inlineStr">
        <is>
          <t>Host app crashed in a live. Cause NOT identified (no logs). Mitigated the keyboard/platform-view resize; music file picker is another suspect.</t>
        </is>
      </c>
      <c r="I4" s="11" t="inlineStr">
        <is>
          <t>Not reproduced</t>
        </is>
      </c>
      <c r="J4" s="11" t="inlineStr">
        <is>
          <t>Expected: no crash. Actual: crash.</t>
        </is>
      </c>
      <c r="K4" s="11" t="inlineStr">
        <is>
          <t>Android</t>
        </is>
      </c>
      <c r="L4" s="11" t="inlineStr"/>
      <c r="M4" s="11" t="inlineStr">
        <is>
          <t>Can't reproduce</t>
        </is>
      </c>
      <c r="N4" s="11" t="inlineStr"/>
      <c r="O4" s="11" t="inlineStr"/>
      <c r="P4" s="11" t="inlineStr">
        <is>
          <t>App build</t>
        </is>
      </c>
      <c r="Q4" s="11" t="inlineStr"/>
      <c r="R4" s="11" t="inlineStr">
        <is>
          <t>Needs crash logs: add Crashlytics; check Play Console &gt; Android vitals; `adb logcat -b crash`.</t>
        </is>
      </c>
    </row>
    <row r="5">
      <c r="A5" s="10" t="n">
        <v>4</v>
      </c>
      <c r="B5" s="10" t="inlineStr"/>
      <c r="C5" s="11" t="inlineStr">
        <is>
          <t>Play user</t>
        </is>
      </c>
      <c r="D5" s="11" t="inlineStr">
        <is>
          <t>Play user</t>
        </is>
      </c>
      <c r="E5" s="11" t="inlineStr">
        <is>
          <t>Audio room seats</t>
        </is>
      </c>
      <c r="F5" s="10" t="inlineStr">
        <is>
          <t>Bug</t>
        </is>
      </c>
      <c r="G5" s="10" t="inlineStr">
        <is>
          <t>High</t>
        </is>
      </c>
      <c r="H5" s="11" t="inlineStr">
        <is>
          <t>Seat still shows as used after leaving; host not visible; people joining/coming on seats not shown. ROOT CAUSE: old builds' filtered DELETE listeners never see seat removals; the stale-presence sweeper freed the host's seat when its heartbeat lapsed; Realtime does not replay missed events. FIX: server keeps the host seat while the stream heartbeat is fresh (migration 20261004190000, live in prod) + the app re-reads seats from the server every 10 s, on resume and on subscribe.</t>
        </is>
      </c>
      <c r="I5" s="11" t="inlineStr">
        <is>
          <t>1. Join audio room. 2. Take a seat. 3. Leave. 4. Look from another phone.</t>
        </is>
      </c>
      <c r="J5" s="11" t="inlineStr">
        <is>
          <t>Expected: seat freed, host visible. Actual: ghost / missing seats.</t>
        </is>
      </c>
      <c r="K5" s="11" t="inlineStr">
        <is>
          <t>Old Play build and new APK</t>
        </is>
      </c>
      <c r="L5" s="11" t="inlineStr"/>
      <c r="M5" s="11" t="inlineStr">
        <is>
          <t>Fixed (in code)</t>
        </is>
      </c>
      <c r="N5" s="11" t="inlineStr"/>
      <c r="O5" s="11" t="inlineStr">
        <is>
          <t>5850a64 (DB) + ee1aed0 (app)</t>
        </is>
      </c>
      <c r="P5" s="11" t="inlineStr">
        <is>
          <t>App build</t>
        </is>
      </c>
      <c r="Q5" s="11" t="inlineStr"/>
      <c r="R5" s="11" t="inlineStr">
        <is>
          <t>Database part is live. App part ships in 1.0.0+8.</t>
        </is>
      </c>
    </row>
    <row r="6">
      <c r="A6" s="10" t="n">
        <v>5</v>
      </c>
      <c r="B6" s="10" t="inlineStr">
        <is>
          <t>2026-10-06</t>
        </is>
      </c>
      <c r="C6" s="11" t="inlineStr">
        <is>
          <t>Owner</t>
        </is>
      </c>
      <c r="D6" s="11" t="inlineStr">
        <is>
          <t>Owner</t>
        </is>
      </c>
      <c r="E6" s="11" t="inlineStr">
        <is>
          <t>Seat speaking indicator</t>
        </is>
      </c>
      <c r="F6" s="10" t="inlineStr">
        <is>
          <t>Bug</t>
        </is>
      </c>
      <c r="G6" s="10" t="inlineStr">
        <is>
          <t>Medium</t>
        </is>
      </c>
      <c r="H6" s="11" t="inlineStr">
        <is>
          <t>Only your own voice lights your seat; other people's never do. ROOT CAUSE: live_stream_seats.agora_uid / set_seat_agora_uid were 32-bit; about 47% of Agora uids exceed 2^31 (max seen 4,287,323,012), so the call failed silently. FIX: bigint (migration 20261004210000, live in prod) + the app matches uids unsigned.</t>
        </is>
      </c>
      <c r="I6" s="11" t="inlineStr">
        <is>
          <t>1. Two phones in an audio room. 2. One speaks.</t>
        </is>
      </c>
      <c r="J6" s="11" t="inlineStr">
        <is>
          <t>Expected: speaker's seat lights on both phones. Actual: only on own phone.</t>
        </is>
      </c>
      <c r="K6" s="11" t="inlineStr">
        <is>
          <t>Play + APK</t>
        </is>
      </c>
      <c r="L6" s="11" t="inlineStr"/>
      <c r="M6" s="11" t="inlineStr">
        <is>
          <t>Fixed (in code)</t>
        </is>
      </c>
      <c r="N6" s="11" t="inlineStr"/>
      <c r="O6" s="11" t="inlineStr">
        <is>
          <t>5850a64 (DB) + ee1aed0 (app)</t>
        </is>
      </c>
      <c r="P6" s="11" t="inlineStr">
        <is>
          <t>App build</t>
        </is>
      </c>
      <c r="Q6" s="11" t="inlineStr">
        <is>
          <t>DB verified in prod 2026-10-06</t>
        </is>
      </c>
      <c r="R6" s="11" t="inlineStr">
        <is>
          <t>DB part is live for existing builds (users must re-sit or rejoin). Waves UI ships in +8.</t>
        </is>
      </c>
    </row>
    <row r="7">
      <c r="A7" s="10" t="n">
        <v>6</v>
      </c>
      <c r="B7" s="10" t="inlineStr">
        <is>
          <t>2026-10-06</t>
        </is>
      </c>
      <c r="C7" s="11" t="inlineStr">
        <is>
          <t>Owner</t>
        </is>
      </c>
      <c r="D7" s="11" t="inlineStr">
        <is>
          <t>Owner</t>
        </is>
      </c>
      <c r="E7" s="11" t="inlineStr">
        <is>
          <t>Speaking indicator (audio + video live)</t>
        </is>
      </c>
      <c r="F7" s="10" t="inlineStr">
        <is>
          <t>Improvement</t>
        </is>
      </c>
      <c r="G7" s="10" t="inlineStr">
        <is>
          <t>Medium</t>
        </is>
      </c>
      <c r="H7" s="11" t="inlineStr">
        <is>
          <t>Replace the green glow with a circular wave ring like the reference video, on audio-room seats, the seat strip in video lives, and the host's avatar in video lives.</t>
        </is>
      </c>
      <c r="I7" s="11" t="inlineStr">
        <is>
          <t>-</t>
        </is>
      </c>
      <c r="J7" s="11" t="inlineStr">
        <is>
          <t>Expected: wave ring around the speaker.</t>
        </is>
      </c>
      <c r="K7" s="11" t="inlineStr">
        <is>
          <t>App</t>
        </is>
      </c>
      <c r="L7" s="11" t="inlineStr">
        <is>
          <t>Reference: GREEN SCREEN spectrum.mp4</t>
        </is>
      </c>
      <c r="M7" s="11" t="inlineStr">
        <is>
          <t>Fixed (in code)</t>
        </is>
      </c>
      <c r="N7" s="11" t="inlineStr"/>
      <c r="O7" s="11" t="inlineStr">
        <is>
          <t>ee1aed0</t>
        </is>
      </c>
      <c r="P7" s="11" t="inlineStr">
        <is>
          <t>App build</t>
        </is>
      </c>
      <c r="Q7" s="11" t="inlineStr"/>
      <c r="R7" s="11" t="inlineStr">
        <is>
          <t>Shape is generated (Agora only reports loudness). Runs only while someone is heard.</t>
        </is>
      </c>
    </row>
    <row r="8">
      <c r="A8" s="10" t="n">
        <v>7</v>
      </c>
      <c r="B8" s="10" t="inlineStr">
        <is>
          <t>2026-10-06</t>
        </is>
      </c>
      <c r="C8" s="11" t="inlineStr">
        <is>
          <t>Owner</t>
        </is>
      </c>
      <c r="D8" s="11" t="inlineStr">
        <is>
          <t>Owner</t>
        </is>
      </c>
      <c r="E8" s="11" t="inlineStr">
        <is>
          <t>Live navigation</t>
        </is>
      </c>
      <c r="F8" s="10" t="inlineStr">
        <is>
          <t>Bug</t>
        </is>
      </c>
      <c r="G8" s="10" t="inlineStr">
        <is>
          <t>High</t>
        </is>
      </c>
      <c r="H8" s="11" t="inlineStr">
        <is>
          <t>Android gesture back takes the user out of the live instead of showing leave/end and the options. ROOT CAUSE: app targets Android 16 (targetSdk 36); Flutter did not claim the back gesture with only the home page under the live. FIX: LiveBackGuard.</t>
        </is>
      </c>
      <c r="I8" s="11" t="inlineStr">
        <is>
          <t>1. Join a live. 2. Swipe back.</t>
        </is>
      </c>
      <c r="J8" s="11" t="inlineStr">
        <is>
          <t>Expected: leave/end dialog. Actual: leaves the live.</t>
        </is>
      </c>
      <c r="K8" s="11" t="inlineStr">
        <is>
          <t>Android 16, gesture navigation</t>
        </is>
      </c>
      <c r="L8" s="11" t="inlineStr"/>
      <c r="M8" s="11" t="inlineStr">
        <is>
          <t>Fixed (in code)</t>
        </is>
      </c>
      <c r="N8" s="11" t="inlineStr"/>
      <c r="O8" s="11" t="inlineStr">
        <is>
          <t>ee1aed0</t>
        </is>
      </c>
      <c r="P8" s="11" t="inlineStr">
        <is>
          <t>App build</t>
        </is>
      </c>
      <c r="Q8" s="11" t="inlineStr"/>
      <c r="R8" s="11" t="inlineStr">
        <is>
          <t>Unit-tested only. Verify on a real Android 16 phone with gesture AND button navigation.</t>
        </is>
      </c>
    </row>
    <row r="9">
      <c r="A9" s="10" t="n">
        <v>8</v>
      </c>
      <c r="B9" s="10" t="inlineStr">
        <is>
          <t>2026-10-06</t>
        </is>
      </c>
      <c r="C9" s="11" t="inlineStr">
        <is>
          <t>Play user</t>
        </is>
      </c>
      <c r="D9" s="11" t="inlineStr">
        <is>
          <t>Play user</t>
        </is>
      </c>
      <c r="E9" s="11" t="inlineStr">
        <is>
          <t>Live rooms (performance)</t>
        </is>
      </c>
      <c r="F9" s="10" t="inlineStr">
        <is>
          <t>Bug</t>
        </is>
      </c>
      <c r="G9" s="10" t="inlineStr">
        <is>
          <t>High</t>
        </is>
      </c>
      <c r="H9" s="11" t="inlineStr">
        <is>
          <t>Phone heating. Mitigations: avatar frames show a still when smaller than 48 px; Home reloads once per burst of Realtime events; host clock no longer rebuilds the whole screen each second; host video 24 fps; sigma-70 blur removed from login/onboarding background.</t>
        </is>
      </c>
      <c r="I9" s="11" t="inlineStr">
        <is>
          <t>Use live rooms for several minutes</t>
        </is>
      </c>
      <c r="J9" s="11" t="inlineStr">
        <is>
          <t>Expected: normal temperature.</t>
        </is>
      </c>
      <c r="K9" s="11" t="inlineStr">
        <is>
          <t>Redmi Note 15 5G, HyperOS 3, Android 16</t>
        </is>
      </c>
      <c r="L9" s="11" t="inlineStr"/>
      <c r="M9" s="11" t="inlineStr">
        <is>
          <t>Fixed (in code)</t>
        </is>
      </c>
      <c r="N9" s="11" t="inlineStr"/>
      <c r="O9" s="11" t="inlineStr">
        <is>
          <t>ee1aed0</t>
        </is>
      </c>
      <c r="P9" s="11" t="inlineStr">
        <is>
          <t>App build</t>
        </is>
      </c>
      <c r="Q9" s="11" t="inlineStr"/>
      <c r="R9" s="11" t="inlineStr">
        <is>
          <t>Not measured on a device. Next ideas: thermal-adaptive quality; lower video resolution (see the Agora cost item).</t>
        </is>
      </c>
    </row>
    <row r="10">
      <c r="A10" s="10" t="n">
        <v>9</v>
      </c>
      <c r="B10" s="10" t="inlineStr">
        <is>
          <t>2026-10-04</t>
        </is>
      </c>
      <c r="C10" s="11" t="inlineStr">
        <is>
          <t>Play user</t>
        </is>
      </c>
      <c r="D10" s="11" t="inlineStr">
        <is>
          <t>Play user</t>
        </is>
      </c>
      <c r="E10" s="11" t="inlineStr">
        <is>
          <t>Live rooms (all)</t>
        </is>
      </c>
      <c r="F10" s="10" t="inlineStr">
        <is>
          <t>Bug</t>
        </is>
      </c>
      <c r="G10" s="10" t="inlineStr">
        <is>
          <t>Critical</t>
        </is>
      </c>
      <c r="H10" s="11" t="inlineStr">
        <is>
          <t>Slowness, rooms failing and 'crashes' for many users. ROOT CAUSE: the Agora free quota (10,000 min) was used up. FIX: topped up to 25,000 minutes.</t>
        </is>
      </c>
      <c r="I10" s="11" t="inlineStr">
        <is>
          <t>-</t>
        </is>
      </c>
      <c r="J10" s="11" t="inlineStr">
        <is>
          <t>Expected: rooms connect. Actual: joins/publishing refused.</t>
        </is>
      </c>
      <c r="K10" s="11" t="inlineStr">
        <is>
          <t>All</t>
        </is>
      </c>
      <c r="L10" s="11" t="inlineStr">
        <is>
          <t>Agora console screenshot</t>
        </is>
      </c>
      <c r="M10" s="11" t="inlineStr">
        <is>
          <t>Closed</t>
        </is>
      </c>
      <c r="N10" s="11" t="inlineStr"/>
      <c r="O10" s="11" t="inlineStr">
        <is>
          <t>Owner top-up</t>
        </is>
      </c>
      <c r="P10" s="11" t="inlineStr">
        <is>
          <t>Store / console action</t>
        </is>
      </c>
      <c r="Q10" s="11" t="inlineStr"/>
      <c r="R10" s="11" t="inlineStr">
        <is>
          <t>Follow up: HD video is about 2/3 of billed minutes. 25,000 may last only days; see the Agora cost item.</t>
        </is>
      </c>
    </row>
    <row r="11">
      <c r="A11" s="10" t="n">
        <v>10</v>
      </c>
      <c r="B11" s="10" t="inlineStr"/>
      <c r="C11" s="11" t="inlineStr">
        <is>
          <t>Investigation</t>
        </is>
      </c>
      <c r="D11" s="11" t="inlineStr">
        <is>
          <t>Investigation</t>
        </is>
      </c>
      <c r="E11" s="11" t="inlineStr">
        <is>
          <t>Live end time</t>
        </is>
      </c>
      <c r="F11" s="10" t="inlineStr">
        <is>
          <t>Bug</t>
        </is>
      </c>
      <c r="G11" s="10" t="inlineStr">
        <is>
          <t>Medium</t>
        </is>
      </c>
      <c r="H11" s="11" t="inlineStr">
        <is>
          <t>Host-pressed End stored ended_at as local time with no zone, so lives 'ended' hours off (5.5 h in the future in India) and live-hours reports were inflated. FIX: server stamps ended_at; 262 past rows repaired; the app now sends UTC.</t>
        </is>
      </c>
      <c r="I11" s="11" t="inlineStr">
        <is>
          <t>-</t>
        </is>
      </c>
      <c r="J11" s="11" t="inlineStr">
        <is>
          <t>Expected: ended_at = now. Actual: hours off.</t>
        </is>
      </c>
      <c r="K11" s="11" t="inlineStr">
        <is>
          <t>All</t>
        </is>
      </c>
      <c r="L11" s="11" t="inlineStr"/>
      <c r="M11" s="11" t="inlineStr">
        <is>
          <t>Fixed (in code)</t>
        </is>
      </c>
      <c r="N11" s="11" t="inlineStr"/>
      <c r="O11" s="11" t="inlineStr">
        <is>
          <t>5850a64 (DB) + ee1aed0</t>
        </is>
      </c>
      <c r="P11" s="11" t="inlineStr">
        <is>
          <t>Database migration</t>
        </is>
      </c>
      <c r="Q11" s="11" t="inlineStr">
        <is>
          <t>Verified in prod 2026-10-06 (0 bad rows)</t>
        </is>
      </c>
      <c r="R11" s="11" t="inlineStr">
        <is>
          <t>Migration 20261004200000 is live.</t>
        </is>
      </c>
    </row>
    <row r="12">
      <c r="A12" s="10" t="n">
        <v>11</v>
      </c>
      <c r="B12" s="10" t="inlineStr"/>
      <c r="C12" s="11" t="inlineStr">
        <is>
          <t>Investigation</t>
        </is>
      </c>
      <c r="D12" s="11" t="inlineStr">
        <is>
          <t>Investigation</t>
        </is>
      </c>
      <c r="E12" s="11" t="inlineStr">
        <is>
          <t>Wallet / purchases</t>
        </is>
      </c>
      <c r="F12" s="10" t="inlineStr">
        <is>
          <t>Security</t>
        </is>
      </c>
      <c r="G12" s="10" t="inlineStr">
        <is>
          <t>Critical</t>
        </is>
      </c>
      <c r="H12" s="11" t="inlineStr">
        <is>
          <t>dev_purchase_coins (an alpha test RPC) let ANY signed-in user mint coins. Never used (0 ledger rows). FIX: execute revoked.</t>
        </is>
      </c>
      <c r="I12" s="11" t="inlineStr">
        <is>
          <t>-</t>
        </is>
      </c>
      <c r="J12" s="11" t="inlineStr">
        <is>
          <t>Expected: no free coins. Actual: callable.</t>
        </is>
      </c>
      <c r="K12" s="11" t="inlineStr">
        <is>
          <t>Backend</t>
        </is>
      </c>
      <c r="L12" s="11" t="inlineStr"/>
      <c r="M12" s="11" t="inlineStr">
        <is>
          <t>Fixed (in code)</t>
        </is>
      </c>
      <c r="N12" s="11" t="inlineStr"/>
      <c r="O12" s="11" t="inlineStr">
        <is>
          <t>5850a64</t>
        </is>
      </c>
      <c r="P12" s="11" t="inlineStr">
        <is>
          <t>Database migration</t>
        </is>
      </c>
      <c r="Q12" s="11" t="inlineStr">
        <is>
          <t>Verified in prod 2026-10-06</t>
        </is>
      </c>
      <c r="R12" s="11" t="inlineStr">
        <is>
          <t>Kept closed on purpose when the rollback was discussed.</t>
        </is>
      </c>
    </row>
    <row r="13">
      <c r="A13" s="10" t="n">
        <v>12</v>
      </c>
      <c r="B13" s="10" t="inlineStr">
        <is>
          <t>2026-10-06</t>
        </is>
      </c>
      <c r="C13" s="11" t="inlineStr">
        <is>
          <t>Play user</t>
        </is>
      </c>
      <c r="D13" s="11" t="inlineStr">
        <is>
          <t>Play user</t>
        </is>
      </c>
      <c r="E13" s="11" t="inlineStr">
        <is>
          <t>Login (Google)</t>
        </is>
      </c>
      <c r="F13" s="10" t="inlineStr">
        <is>
          <t>Bug</t>
        </is>
      </c>
      <c r="G13" s="10" t="inlineStr">
        <is>
          <t>High</t>
        </is>
      </c>
      <c r="H13" s="11" t="inlineStr">
        <is>
          <t>Error 'PlatformException(channel-error, ... google_sign_in_android.GoogleSignInApi.signIn)' on some phones. FIX: fall back to the browser Google sign-in; readable, translated message instead of the raw error.</t>
        </is>
      </c>
      <c r="I13" s="11" t="inlineStr">
        <is>
          <t>Tap the Google button</t>
        </is>
      </c>
      <c r="J13" s="11" t="inlineStr">
        <is>
          <t>Expected: Google sign-in. Actual: raw error.</t>
        </is>
      </c>
      <c r="K13" s="11" t="inlineStr">
        <is>
          <t>Play build; phone model unknown</t>
        </is>
      </c>
      <c r="L13" s="11" t="inlineStr">
        <is>
          <t>Screenshot</t>
        </is>
      </c>
      <c r="M13" s="11" t="inlineStr">
        <is>
          <t>Fixed (in code)</t>
        </is>
      </c>
      <c r="N13" s="11" t="inlineStr"/>
      <c r="O13" s="11" t="inlineStr">
        <is>
          <t>e5aa4f6</t>
        </is>
      </c>
      <c r="P13" s="11" t="inlineStr">
        <is>
          <t>App build</t>
        </is>
      </c>
      <c r="Q13" s="11" t="inlineStr"/>
      <c r="R13" s="11" t="inlineStr">
        <is>
          <t>Real cause on that phone unknown (Play Services?). Email, phone and username login are unaffected. Ask the reporter for model + Android version.</t>
        </is>
      </c>
    </row>
    <row r="14">
      <c r="A14" s="10" t="n">
        <v>13</v>
      </c>
      <c r="B14" s="10" t="inlineStr"/>
      <c r="C14" s="11" t="inlineStr">
        <is>
          <t>App Review</t>
        </is>
      </c>
      <c r="D14" s="11" t="inlineStr">
        <is>
          <t>App Review</t>
        </is>
      </c>
      <c r="E14" s="11" t="inlineStr">
        <is>
          <t>Chat / Rankings</t>
        </is>
      </c>
      <c r="F14" s="10" t="inlineStr">
        <is>
          <t>Bug</t>
        </is>
      </c>
      <c r="G14" s="10" t="inlineStr">
        <is>
          <t>High</t>
        </is>
      </c>
      <c r="H14" s="11" t="inlineStr">
        <is>
          <t>Apple 2.1(a): chat top-right '...' did nothing; the '+' and emoji icons in the chat bar and the Rankings info icon were dead. FIX: '...' opens View profile / Block / Report; dead icons removed.</t>
        </is>
      </c>
      <c r="I14" s="11" t="inlineStr">
        <is>
          <t>Open any chat</t>
        </is>
      </c>
      <c r="J14" s="11" t="inlineStr">
        <is>
          <t>Expected: working controls.</t>
        </is>
      </c>
      <c r="K14" s="11" t="inlineStr">
        <is>
          <t>iPad Air 11 (M3), iPadOS 27</t>
        </is>
      </c>
      <c r="L14" s="11" t="inlineStr">
        <is>
          <t>App Review message</t>
        </is>
      </c>
      <c r="M14" s="11" t="inlineStr">
        <is>
          <t>Fixed (in code)</t>
        </is>
      </c>
      <c r="N14" s="11" t="inlineStr"/>
      <c r="O14" s="11" t="inlineStr">
        <is>
          <t>ee1aed0</t>
        </is>
      </c>
      <c r="P14" s="11" t="inlineStr">
        <is>
          <t>App build</t>
        </is>
      </c>
      <c r="Q14" s="11" t="inlineStr"/>
      <c r="R14" s="11" t="inlineStr">
        <is>
          <t>Also fixed: the Report sheet overflowed on short screens.</t>
        </is>
      </c>
    </row>
    <row r="15">
      <c r="A15" s="10" t="n">
        <v>14</v>
      </c>
      <c r="B15" s="10" t="inlineStr"/>
      <c r="C15" s="11" t="inlineStr">
        <is>
          <t>App Review</t>
        </is>
      </c>
      <c r="D15" s="11" t="inlineStr">
        <is>
          <t>App Review</t>
        </is>
      </c>
      <c r="E15" s="11" t="inlineStr">
        <is>
          <t>Live (iPad)</t>
        </is>
      </c>
      <c r="F15" s="10" t="inlineStr">
        <is>
          <t>Bug</t>
        </is>
      </c>
      <c r="G15" s="10" t="inlineStr">
        <is>
          <t>High</t>
        </is>
      </c>
      <c r="H15" s="11" t="inlineStr">
        <is>
          <t>Apple 2.1(a): 'live video did not load' and 'most features in the live unresponsive' on iPad.</t>
        </is>
      </c>
      <c r="I15" s="11" t="inlineStr">
        <is>
          <t>Open a live on iPad</t>
        </is>
      </c>
      <c r="J15" s="11" t="inlineStr">
        <is>
          <t>Expected: video plays.</t>
        </is>
      </c>
      <c r="K15" s="11" t="inlineStr">
        <is>
          <t>iPad Air 11 (M3), iPadOS 27</t>
        </is>
      </c>
      <c r="L15" s="11" t="inlineStr"/>
      <c r="M15" s="11" t="inlineStr">
        <is>
          <t>Can't reproduce</t>
        </is>
      </c>
      <c r="N15" s="11" t="inlineStr"/>
      <c r="O15" s="11" t="inlineStr"/>
      <c r="P15" s="11" t="inlineStr">
        <is>
          <t>Decision</t>
        </is>
      </c>
      <c r="Q15" s="11" t="inlineStr"/>
      <c r="R15" s="11" t="inlineStr">
        <is>
          <t>Probably no host was live during review. Plan: a host live during review + demo login in Review Notes; test on an iPad.</t>
        </is>
      </c>
    </row>
    <row r="16">
      <c r="A16" s="10" t="n">
        <v>15</v>
      </c>
      <c r="B16" s="10" t="inlineStr"/>
      <c r="C16" s="11" t="inlineStr">
        <is>
          <t>Owner</t>
        </is>
      </c>
      <c r="D16" s="11" t="inlineStr">
        <is>
          <t>Owner</t>
        </is>
      </c>
      <c r="E16" s="11" t="inlineStr">
        <is>
          <t>Profile</t>
        </is>
      </c>
      <c r="F16" s="10" t="inlineStr">
        <is>
          <t>Bug</t>
        </is>
      </c>
      <c r="G16" s="10" t="inlineStr">
        <is>
          <t>Medium</t>
        </is>
      </c>
      <c r="H16" s="11" t="inlineStr">
        <is>
          <t>Language tile said 'coming soon'. FIX: opens the language picker (9 languages).</t>
        </is>
      </c>
      <c r="I16" s="11" t="inlineStr">
        <is>
          <t>Profile &gt; Language</t>
        </is>
      </c>
      <c r="J16" s="11" t="inlineStr"/>
      <c r="K16" s="11" t="inlineStr">
        <is>
          <t>APK</t>
        </is>
      </c>
      <c r="L16" s="11" t="inlineStr"/>
      <c r="M16" s="11" t="inlineStr">
        <is>
          <t>Fixed (in code)</t>
        </is>
      </c>
      <c r="N16" s="11" t="inlineStr"/>
      <c r="O16" s="11" t="inlineStr">
        <is>
          <t>Oct 4 batch</t>
        </is>
      </c>
      <c r="P16" s="11" t="inlineStr">
        <is>
          <t>App build</t>
        </is>
      </c>
      <c r="Q16" s="11" t="inlineStr"/>
      <c r="R16" s="11" t="inlineStr"/>
    </row>
    <row r="17">
      <c r="A17" s="10" t="n">
        <v>16</v>
      </c>
      <c r="B17" s="10" t="inlineStr"/>
      <c r="C17" s="11" t="inlineStr">
        <is>
          <t>Owner</t>
        </is>
      </c>
      <c r="D17" s="11" t="inlineStr">
        <is>
          <t>Owner</t>
        </is>
      </c>
      <c r="E17" s="11" t="inlineStr">
        <is>
          <t>Profile</t>
        </is>
      </c>
      <c r="F17" s="10" t="inlineStr">
        <is>
          <t>Bug</t>
        </is>
      </c>
      <c r="G17" s="10" t="inlineStr">
        <is>
          <t>Low</t>
        </is>
      </c>
      <c r="H17" s="11" t="inlineStr">
        <is>
          <t>Profile menu grid had a gap. FIX: fixed row height.</t>
        </is>
      </c>
      <c r="I17" s="11" t="inlineStr">
        <is>
          <t>Profile screen</t>
        </is>
      </c>
      <c r="J17" s="11" t="inlineStr"/>
      <c r="K17" s="11" t="inlineStr">
        <is>
          <t>APK</t>
        </is>
      </c>
      <c r="L17" s="11" t="inlineStr"/>
      <c r="M17" s="11" t="inlineStr">
        <is>
          <t>Fixed (in code)</t>
        </is>
      </c>
      <c r="N17" s="11" t="inlineStr"/>
      <c r="O17" s="11" t="inlineStr">
        <is>
          <t>Oct 4 batch</t>
        </is>
      </c>
      <c r="P17" s="11" t="inlineStr">
        <is>
          <t>App build</t>
        </is>
      </c>
      <c r="Q17" s="11" t="inlineStr"/>
      <c r="R17" s="11" t="inlineStr"/>
    </row>
    <row r="18">
      <c r="A18" s="10" t="n">
        <v>17</v>
      </c>
      <c r="B18" s="10" t="inlineStr"/>
      <c r="C18" s="11" t="inlineStr">
        <is>
          <t>Owner</t>
        </is>
      </c>
      <c r="D18" s="11" t="inlineStr">
        <is>
          <t>Owner</t>
        </is>
      </c>
      <c r="E18" s="11" t="inlineStr">
        <is>
          <t>Live chat</t>
        </is>
      </c>
      <c r="F18" s="10" t="inlineStr">
        <is>
          <t>Bug</t>
        </is>
      </c>
      <c r="G18" s="10" t="inlineStr">
        <is>
          <t>Low</t>
        </is>
      </c>
      <c r="H18" s="11" t="inlineStr">
        <is>
          <t>'Left' notice was not styled like 'joined'. FIX: same style.</t>
        </is>
      </c>
      <c r="I18" s="11" t="inlineStr">
        <is>
          <t>Join then leave a live</t>
        </is>
      </c>
      <c r="J18" s="11" t="inlineStr"/>
      <c r="K18" s="11" t="inlineStr">
        <is>
          <t>APK</t>
        </is>
      </c>
      <c r="L18" s="11" t="inlineStr"/>
      <c r="M18" s="11" t="inlineStr">
        <is>
          <t>Fixed (in code)</t>
        </is>
      </c>
      <c r="N18" s="11" t="inlineStr"/>
      <c r="O18" s="11" t="inlineStr">
        <is>
          <t>Oct 4 batch</t>
        </is>
      </c>
      <c r="P18" s="11" t="inlineStr">
        <is>
          <t>App build</t>
        </is>
      </c>
      <c r="Q18" s="11" t="inlineStr"/>
      <c r="R18" s="11" t="inlineStr"/>
    </row>
    <row r="19">
      <c r="A19" s="10" t="n">
        <v>18</v>
      </c>
      <c r="B19" s="10" t="inlineStr"/>
      <c r="C19" s="11" t="inlineStr">
        <is>
          <t>Owner</t>
        </is>
      </c>
      <c r="D19" s="11" t="inlineStr">
        <is>
          <t>Owner</t>
        </is>
      </c>
      <c r="E19" s="11" t="inlineStr">
        <is>
          <t>Audio room (host music)</t>
        </is>
      </c>
      <c r="F19" s="10" t="inlineStr">
        <is>
          <t>Bug</t>
        </is>
      </c>
      <c r="G19" s="10" t="inlineStr">
        <is>
          <t>Medium</t>
        </is>
      </c>
      <c r="H19" s="11" t="inlineStr">
        <is>
          <t>Local mp3 player: host could not hear anything. Diagnostics added; cause not found.</t>
        </is>
      </c>
      <c r="I19" s="11" t="inlineStr">
        <is>
          <t>Audio room &gt; Music &gt; pick a file</t>
        </is>
      </c>
      <c r="J19" s="11" t="inlineStr">
        <is>
          <t>Expected: song plays into the room.</t>
        </is>
      </c>
      <c r="K19" s="11" t="inlineStr">
        <is>
          <t>APK</t>
        </is>
      </c>
      <c r="L19" s="11" t="inlineStr"/>
      <c r="M19" s="11" t="inlineStr">
        <is>
          <t>Confirmed</t>
        </is>
      </c>
      <c r="N19" s="11" t="inlineStr"/>
      <c r="O19" s="11" t="inlineStr"/>
      <c r="P19" s="11" t="inlineStr">
        <is>
          <t>App build</t>
        </is>
      </c>
      <c r="Q19" s="11" t="inlineStr"/>
      <c r="R19" s="11" t="inlineStr">
        <is>
          <t>Needs a device test with logs. Music is host-only and audio-room-only.</t>
        </is>
      </c>
    </row>
    <row r="20">
      <c r="A20" s="10" t="n">
        <v>19</v>
      </c>
      <c r="B20" s="10" t="inlineStr"/>
      <c r="C20" s="11" t="inlineStr">
        <is>
          <t>Owner</t>
        </is>
      </c>
      <c r="D20" s="11" t="inlineStr">
        <is>
          <t>Owner</t>
        </is>
      </c>
      <c r="E20" s="11" t="inlineStr">
        <is>
          <t>Wallet / coin sellers</t>
        </is>
      </c>
      <c r="F20" s="10" t="inlineStr">
        <is>
          <t>Bug</t>
        </is>
      </c>
      <c r="G20" s="10" t="inlineStr">
        <is>
          <t>Low</t>
        </is>
      </c>
      <c r="H20" s="11" t="inlineStr">
        <is>
          <t>Coin seller list showed a shop icon, not the user's profile picture.</t>
        </is>
      </c>
      <c r="I20" s="11" t="inlineStr">
        <is>
          <t>Wallet &gt; Offline sellers</t>
        </is>
      </c>
      <c r="J20" s="11" t="inlineStr"/>
      <c r="K20" s="11" t="inlineStr">
        <is>
          <t>Older build on the phone</t>
        </is>
      </c>
      <c r="L20" s="11" t="inlineStr">
        <is>
          <t>Screenshot</t>
        </is>
      </c>
      <c r="M20" s="11" t="inlineStr">
        <is>
          <t>Closed</t>
        </is>
      </c>
      <c r="N20" s="11" t="inlineStr"/>
      <c r="O20" s="11" t="inlineStr"/>
      <c r="P20" s="11" t="inlineStr">
        <is>
          <t>None</t>
        </is>
      </c>
      <c r="Q20" s="11" t="inlineStr"/>
      <c r="R20" s="11" t="inlineStr">
        <is>
          <t>Backend returns the profile; the phone ran an older build.</t>
        </is>
      </c>
    </row>
    <row r="21">
      <c r="A21" s="10" t="n">
        <v>20</v>
      </c>
      <c r="B21" s="10" t="inlineStr">
        <is>
          <t>2026-10-05</t>
        </is>
      </c>
      <c r="C21" s="11" t="inlineStr">
        <is>
          <t>App Review</t>
        </is>
      </c>
      <c r="D21" s="11" t="inlineStr">
        <is>
          <t>App Review</t>
        </is>
      </c>
      <c r="E21" s="11" t="inlineStr">
        <is>
          <t>App Store Connect</t>
        </is>
      </c>
      <c r="F21" s="10" t="inlineStr">
        <is>
          <t>Policy</t>
        </is>
      </c>
      <c r="G21" s="10" t="inlineStr">
        <is>
          <t>High</t>
        </is>
      </c>
      <c r="H21" s="11" t="inlineStr">
        <is>
          <t>Apple 2.3.6: set Age Rating 'Messaging and Chat' = Yes and 'User-Generated Content' = Yes.</t>
        </is>
      </c>
      <c r="I21" s="11" t="inlineStr">
        <is>
          <t>App Information &gt; Age Rating</t>
        </is>
      </c>
      <c r="J21" s="11" t="inlineStr"/>
      <c r="K21" s="11" t="inlineStr">
        <is>
          <t>iOS</t>
        </is>
      </c>
      <c r="L21" s="11" t="inlineStr"/>
      <c r="M21" s="11" t="inlineStr">
        <is>
          <t>New</t>
        </is>
      </c>
      <c r="N21" s="11" t="inlineStr">
        <is>
          <t>Owner</t>
        </is>
      </c>
      <c r="O21" s="11" t="inlineStr"/>
      <c r="P21" s="11" t="inlineStr">
        <is>
          <t>Store / console action</t>
        </is>
      </c>
      <c r="Q21" s="11" t="inlineStr"/>
      <c r="R21" s="11" t="inlineStr">
        <is>
          <t>Owner action in App Store Connect.</t>
        </is>
      </c>
    </row>
    <row r="22">
      <c r="A22" s="10" t="n">
        <v>21</v>
      </c>
      <c r="B22" s="10" t="inlineStr">
        <is>
          <t>2026-10-05</t>
        </is>
      </c>
      <c r="C22" s="11" t="inlineStr">
        <is>
          <t>App Review</t>
        </is>
      </c>
      <c r="D22" s="11" t="inlineStr">
        <is>
          <t>App Review</t>
        </is>
      </c>
      <c r="E22" s="11" t="inlineStr">
        <is>
          <t>App Store Connect</t>
        </is>
      </c>
      <c r="F22" s="10" t="inlineStr">
        <is>
          <t>Policy</t>
        </is>
      </c>
      <c r="G22" s="10" t="inlineStr">
        <is>
          <t>High</t>
        </is>
      </c>
      <c r="H22" s="11" t="inlineStr">
        <is>
          <t>Apple 5.2.1: China internet cultural business licences requested. PLAN: remove China mainland from availability and reply that the app is not offered there.</t>
        </is>
      </c>
      <c r="I22" s="11" t="inlineStr">
        <is>
          <t>Pricing and Availability</t>
        </is>
      </c>
      <c r="J22" s="11" t="inlineStr"/>
      <c r="K22" s="11" t="inlineStr">
        <is>
          <t>iOS</t>
        </is>
      </c>
      <c r="L22" s="11" t="inlineStr"/>
      <c r="M22" s="11" t="inlineStr">
        <is>
          <t>New</t>
        </is>
      </c>
      <c r="N22" s="11" t="inlineStr">
        <is>
          <t>Owner</t>
        </is>
      </c>
      <c r="O22" s="11" t="inlineStr"/>
      <c r="P22" s="11" t="inlineStr">
        <is>
          <t>Store / console action</t>
        </is>
      </c>
      <c r="Q22" s="11" t="inlineStr"/>
      <c r="R22" s="11" t="inlineStr">
        <is>
          <t>Draft reply: scratchpad app-review-reply-draft.md</t>
        </is>
      </c>
    </row>
    <row r="23">
      <c r="A23" s="10" t="n">
        <v>22</v>
      </c>
      <c r="B23" s="10" t="inlineStr">
        <is>
          <t>2026-10-05</t>
        </is>
      </c>
      <c r="C23" s="11" t="inlineStr">
        <is>
          <t>App Review</t>
        </is>
      </c>
      <c r="D23" s="11" t="inlineStr">
        <is>
          <t>App Review</t>
        </is>
      </c>
      <c r="E23" s="11" t="inlineStr">
        <is>
          <t>App Store metadata</t>
        </is>
      </c>
      <c r="F23" s="10" t="inlineStr">
        <is>
          <t>Policy</t>
        </is>
      </c>
      <c r="G23" s="10" t="inlineStr">
        <is>
          <t>High</t>
        </is>
      </c>
      <c r="H23" s="11" t="inlineStr">
        <is>
          <t>Apple 4.1(a): metadata resembles another app. Found: the icon, logo and splash have a red rounded '&gt; LIVE' pill that resembles YouTube's mark. Name, subtitle, keywords, description and screenshots still need checking.</t>
        </is>
      </c>
      <c r="I23" s="11" t="inlineStr">
        <is>
          <t>-</t>
        </is>
      </c>
      <c r="J23" s="11" t="inlineStr"/>
      <c r="K23" s="11" t="inlineStr">
        <is>
          <t>iOS</t>
        </is>
      </c>
      <c r="L23" s="11" t="inlineStr"/>
      <c r="M23" s="11" t="inlineStr">
        <is>
          <t>Needs decision</t>
        </is>
      </c>
      <c r="N23" s="11" t="inlineStr">
        <is>
          <t>Owner</t>
        </is>
      </c>
      <c r="O23" s="11" t="inlineStr"/>
      <c r="P23" s="11" t="inlineStr">
        <is>
          <t>Store / console action</t>
        </is>
      </c>
      <c r="Q23" s="11" t="inlineStr"/>
      <c r="R23" s="11" t="inlineStr">
        <is>
          <t>Needs a cleaned icon file + the App Store Connect text.</t>
        </is>
      </c>
    </row>
    <row r="24">
      <c r="A24" s="10" t="n">
        <v>23</v>
      </c>
      <c r="B24" s="10" t="inlineStr">
        <is>
          <t>2026-10-05</t>
        </is>
      </c>
      <c r="C24" s="11" t="inlineStr">
        <is>
          <t>App Review</t>
        </is>
      </c>
      <c r="D24" s="11" t="inlineStr">
        <is>
          <t>App Review</t>
        </is>
      </c>
      <c r="E24" s="11" t="inlineStr">
        <is>
          <t>Coins / payments</t>
        </is>
      </c>
      <c r="F24" s="10" t="inlineStr">
        <is>
          <t>Policy</t>
        </is>
      </c>
      <c r="G24" s="10" t="inlineStr">
        <is>
          <t>Critical</t>
        </is>
      </c>
      <c r="H24" s="11" t="inlineStr">
        <is>
          <t>Apple 2.1(b) / 3.1.1: the app sells coins through 'Offline Coin Sellers' (cash/UPI over WhatsApp) and a Coin Reseller tool; Buy Coins is switched off. Needs a decision: (A) In-App Purchase on iOS + hide offline selling on iOS, (B) iOS with no way to get coins, (C) hold the iOS release.</t>
        </is>
      </c>
      <c r="I24" s="11" t="inlineStr">
        <is>
          <t>-</t>
        </is>
      </c>
      <c r="J24" s="11" t="inlineStr"/>
      <c r="K24" s="11" t="inlineStr">
        <is>
          <t>iOS</t>
        </is>
      </c>
      <c r="L24" s="11" t="inlineStr"/>
      <c r="M24" s="11" t="inlineStr">
        <is>
          <t>Needs decision</t>
        </is>
      </c>
      <c r="N24" s="11" t="inlineStr">
        <is>
          <t>Owner</t>
        </is>
      </c>
      <c r="O24" s="11" t="inlineStr"/>
      <c r="P24" s="11" t="inlineStr">
        <is>
          <t>Decision</t>
        </is>
      </c>
      <c r="Q24" s="11" t="inlineStr"/>
      <c r="R24" s="11" t="inlineStr"/>
    </row>
    <row r="25">
      <c r="A25" s="10" t="n">
        <v>24</v>
      </c>
      <c r="B25" s="10" t="inlineStr"/>
      <c r="C25" s="11" t="inlineStr">
        <is>
          <t>Investigation</t>
        </is>
      </c>
      <c r="D25" s="11" t="inlineStr">
        <is>
          <t>Investigation</t>
        </is>
      </c>
      <c r="E25" s="11" t="inlineStr">
        <is>
          <t>Profile / Live / Home</t>
        </is>
      </c>
      <c r="F25" s="10" t="inlineStr">
        <is>
          <t>Improvement</t>
        </is>
      </c>
      <c r="G25" s="10" t="inlineStr">
        <is>
          <t>Medium</t>
        </is>
      </c>
      <c r="H25" s="11" t="inlineStr">
        <is>
          <t>Visible 'coming soon' placeholders (VIP, Room Effects, Family, PK battles, Voice effects, Room skins, Seat invites, Games, Withdrawals) are a common App Review complaint. Proposal: hide them (at least on iOS).</t>
        </is>
      </c>
      <c r="I25" s="11" t="inlineStr">
        <is>
          <t>-</t>
        </is>
      </c>
      <c r="J25" s="11" t="inlineStr"/>
      <c r="K25" s="11" t="inlineStr">
        <is>
          <t>App</t>
        </is>
      </c>
      <c r="L25" s="11" t="inlineStr"/>
      <c r="M25" s="11" t="inlineStr">
        <is>
          <t>Needs decision</t>
        </is>
      </c>
      <c r="N25" s="11" t="inlineStr">
        <is>
          <t>Owner</t>
        </is>
      </c>
      <c r="O25" s="11" t="inlineStr"/>
      <c r="P25" s="11" t="inlineStr">
        <is>
          <t>Decision</t>
        </is>
      </c>
      <c r="Q25" s="11" t="inlineStr"/>
      <c r="R25" s="11" t="inlineStr"/>
    </row>
    <row r="26">
      <c r="A26" s="10" t="n">
        <v>25</v>
      </c>
      <c r="B26" s="10" t="inlineStr"/>
      <c r="C26" s="11" t="inlineStr">
        <is>
          <t>Investigation</t>
        </is>
      </c>
      <c r="D26" s="11" t="inlineStr">
        <is>
          <t>Investigation</t>
        </is>
      </c>
      <c r="E26" s="11" t="inlineStr">
        <is>
          <t>Login (Apple)</t>
        </is>
      </c>
      <c r="F26" s="10" t="inlineStr">
        <is>
          <t>Bug</t>
        </is>
      </c>
      <c r="G26" s="10" t="inlineStr">
        <is>
          <t>High</t>
        </is>
      </c>
      <c r="H26" s="11" t="inlineStr">
        <is>
          <t>Sign in with Apple was not configured when last checked (the button errors). A likely next App Review rejection.</t>
        </is>
      </c>
      <c r="I26" s="11" t="inlineStr">
        <is>
          <t>Tap Apple on the login screen</t>
        </is>
      </c>
      <c r="J26" s="11" t="inlineStr"/>
      <c r="K26" s="11" t="inlineStr">
        <is>
          <t>iOS</t>
        </is>
      </c>
      <c r="L26" s="11" t="inlineStr"/>
      <c r="M26" s="11" t="inlineStr">
        <is>
          <t>New</t>
        </is>
      </c>
      <c r="N26" s="11" t="inlineStr"/>
      <c r="O26" s="11" t="inlineStr"/>
      <c r="P26" s="11" t="inlineStr">
        <is>
          <t>Store / console action</t>
        </is>
      </c>
      <c r="Q26" s="11" t="inlineStr"/>
      <c r="R26" s="11" t="inlineStr">
        <is>
          <t>Verify the current state in Supabase Auth &gt; Providers and the Apple developer account.</t>
        </is>
      </c>
    </row>
    <row r="27">
      <c r="A27" s="10" t="n">
        <v>26</v>
      </c>
      <c r="B27" s="10" t="inlineStr">
        <is>
          <t>2026-10-04</t>
        </is>
      </c>
      <c r="C27" s="11" t="inlineStr">
        <is>
          <t>Investigation</t>
        </is>
      </c>
      <c r="D27" s="11" t="inlineStr">
        <is>
          <t>Investigation</t>
        </is>
      </c>
      <c r="E27" s="11" t="inlineStr">
        <is>
          <t>Agora video cost</t>
        </is>
      </c>
      <c r="F27" s="10" t="inlineStr">
        <is>
          <t>Improvement</t>
        </is>
      </c>
      <c r="G27" s="10" t="inlineStr">
        <is>
          <t>High</t>
        </is>
      </c>
      <c r="H27" s="11" t="inlineStr">
        <is>
          <t>HD portrait video (720x1280) is about 2/3 of billed minutes. Options: A) cheaper resolution, B) two-stream mode, C) leave as is. Also a heat factor.</t>
        </is>
      </c>
      <c r="I27" s="11" t="inlineStr">
        <is>
          <t>-</t>
        </is>
      </c>
      <c r="J27" s="11" t="inlineStr"/>
      <c r="K27" s="11" t="inlineStr">
        <is>
          <t>All</t>
        </is>
      </c>
      <c r="L27" s="11" t="inlineStr"/>
      <c r="M27" s="11" t="inlineStr">
        <is>
          <t>Needs decision</t>
        </is>
      </c>
      <c r="N27" s="11" t="inlineStr">
        <is>
          <t>Owner</t>
        </is>
      </c>
      <c r="O27" s="11" t="inlineStr"/>
      <c r="P27" s="11" t="inlineStr">
        <is>
          <t>Decision</t>
        </is>
      </c>
      <c r="Q27" s="11" t="inlineStr"/>
      <c r="R27" s="11" t="inlineStr">
        <is>
          <t>Not changed yet.</t>
        </is>
      </c>
    </row>
    <row r="28">
      <c r="A28" s="10" t="n">
        <v>27</v>
      </c>
      <c r="B28" s="10" t="inlineStr">
        <is>
          <t>2026-10-06</t>
        </is>
      </c>
      <c r="C28" s="11" t="inlineStr">
        <is>
          <t>Owner</t>
        </is>
      </c>
      <c r="D28" s="11" t="inlineStr">
        <is>
          <t>Owner</t>
        </is>
      </c>
      <c r="E28" s="11" t="inlineStr">
        <is>
          <t>Backend (Supabase)</t>
        </is>
      </c>
      <c r="F28" s="10" t="inlineStr">
        <is>
          <t>Build/Infra</t>
        </is>
      </c>
      <c r="G28" s="10" t="inlineStr">
        <is>
          <t>High</t>
        </is>
      </c>
      <c r="H28" s="11" t="inlineStr">
        <is>
          <t>Cached egress is over the free quota: 11.14 / 5 GB (223%). The app re-downloads gift/frame/skin media each launch and each room (no disk cache; video re-streams on every play). FIX (not built): on-device media cache. Or upgrade the plan.</t>
        </is>
      </c>
      <c r="I28" s="11" t="inlineStr">
        <is>
          <t>Supabase &gt; Usage</t>
        </is>
      </c>
      <c r="J28" s="11" t="inlineStr"/>
      <c r="K28" s="11" t="inlineStr">
        <is>
          <t>Backend</t>
        </is>
      </c>
      <c r="L28" s="11" t="inlineStr">
        <is>
          <t>Dashboard screenshot</t>
        </is>
      </c>
      <c r="M28" s="11" t="inlineStr">
        <is>
          <t>Confirmed</t>
        </is>
      </c>
      <c r="N28" s="11" t="inlineStr"/>
      <c r="O28" s="11" t="inlineStr"/>
      <c r="P28" s="11" t="inlineStr">
        <is>
          <t>App build</t>
        </is>
      </c>
      <c r="Q28" s="11" t="inlineStr"/>
      <c r="R28" s="11" t="inlineStr">
        <is>
          <t>Flushing does not reduce the counter; it resets at the next billing cycle.</t>
        </is>
      </c>
    </row>
    <row r="29">
      <c r="A29" s="10" t="n">
        <v>28</v>
      </c>
      <c r="B29" s="10" t="inlineStr">
        <is>
          <t>2026-10-05</t>
        </is>
      </c>
      <c r="C29" s="11" t="inlineStr">
        <is>
          <t>Play user</t>
        </is>
      </c>
      <c r="D29" s="11" t="inlineStr">
        <is>
          <t>Play user</t>
        </is>
      </c>
      <c r="E29" s="11" t="inlineStr">
        <is>
          <t>Backend (Supabase)</t>
        </is>
      </c>
      <c r="F29" s="10" t="inlineStr">
        <is>
          <t>Bug</t>
        </is>
      </c>
      <c r="G29" s="10" t="inlineStr">
        <is>
          <t>Critical</t>
        </is>
      </c>
      <c r="H29" s="11" t="inlineStr">
        <is>
          <t>Production database stopped answering from about 19:33 to 19:54 UTC (every service returned 504 / DatabaseTimeout). Restarting the project fixed it. Cause NOT identified.</t>
        </is>
      </c>
      <c r="I29" s="11" t="inlineStr">
        <is>
          <t>-</t>
        </is>
      </c>
      <c r="J29" s="11" t="inlineStr"/>
      <c r="K29" s="11" t="inlineStr">
        <is>
          <t>Backend</t>
        </is>
      </c>
      <c r="L29" s="11" t="inlineStr"/>
      <c r="M29" s="11" t="inlineStr">
        <is>
          <t>Closed</t>
        </is>
      </c>
      <c r="N29" s="11" t="inlineStr">
        <is>
          <t>Owner</t>
        </is>
      </c>
      <c r="O29" s="11" t="inlineStr">
        <is>
          <t>Project restart</t>
        </is>
      </c>
      <c r="P29" s="11" t="inlineStr">
        <is>
          <t>Store / console action</t>
        </is>
      </c>
      <c r="Q29" s="11" t="inlineStr">
        <is>
          <t>Owner confirmed all well</t>
        </is>
      </c>
      <c r="R29" s="11" t="inlineStr">
        <is>
          <t>Check Logs &gt; Postgres around 19:30 UTC for out-of-memory or too-many-connections lines.</t>
        </is>
      </c>
    </row>
    <row r="30">
      <c r="A30" s="10" t="n">
        <v>29</v>
      </c>
      <c r="B30" s="10" t="inlineStr">
        <is>
          <t>2026-10-05</t>
        </is>
      </c>
      <c r="C30" s="11" t="inlineStr">
        <is>
          <t>Play user</t>
        </is>
      </c>
      <c r="D30" s="11" t="inlineStr">
        <is>
          <t>Play user</t>
        </is>
      </c>
      <c r="E30" s="11" t="inlineStr">
        <is>
          <t>Backend (after db push)</t>
        </is>
      </c>
      <c r="F30" s="10" t="inlineStr">
        <is>
          <t>Bug</t>
        </is>
      </c>
      <c r="G30" s="10" t="inlineStr">
        <is>
          <t>High</t>
        </is>
      </c>
      <c r="H30" s="11" t="inlineStr">
        <is>
          <t>Issues reported on the live Play app after the database push. All 12 Play-app actions replayed against prod passed. There was a brief blip during the push: background jobs timed out 18:53-18:55 UTC.</t>
        </is>
      </c>
      <c r="I30" s="11" t="inlineStr">
        <is>
          <t>-</t>
        </is>
      </c>
      <c r="J30" s="11" t="inlineStr"/>
      <c r="K30" s="11" t="inlineStr">
        <is>
          <t>Play build</t>
        </is>
      </c>
      <c r="L30" s="11" t="inlineStr"/>
      <c r="M30" s="11" t="inlineStr">
        <is>
          <t>Can't reproduce</t>
        </is>
      </c>
      <c r="N30" s="11" t="inlineStr"/>
      <c r="O30" s="11" t="inlineStr"/>
      <c r="P30" s="11" t="inlineStr">
        <is>
          <t>None</t>
        </is>
      </c>
      <c r="Q30" s="11" t="inlineStr">
        <is>
          <t>12-step replay passed 2026-10-06</t>
        </is>
      </c>
      <c r="R30" s="11" t="inlineStr">
        <is>
          <t>Lesson recorded: see the production-safety rules in CLAUDE.md.</t>
        </is>
      </c>
    </row>
    <row r="31">
      <c r="A31" s="10" t="n">
        <v>30</v>
      </c>
      <c r="B31" s="10" t="inlineStr"/>
      <c r="C31" s="11" t="inlineStr">
        <is>
          <t>Investigation</t>
        </is>
      </c>
      <c r="D31" s="11" t="inlineStr">
        <is>
          <t>Investigation</t>
        </is>
      </c>
      <c r="E31" s="11" t="inlineStr">
        <is>
          <t>Release build</t>
        </is>
      </c>
      <c r="F31" s="10" t="inlineStr">
        <is>
          <t>Build/Infra</t>
        </is>
      </c>
      <c r="G31" s="10" t="inlineStr">
        <is>
          <t>Medium</t>
        </is>
      </c>
      <c r="H31" s="11" t="inlineStr">
        <is>
          <t>Signed bundle build failed twice: R8 lost intermediate files (the machine is short of memory with other Flutter tools open), then a stale generated plugin file. Workaround: flutter clean, then build, with other Flutter/IDE windows closed.</t>
        </is>
      </c>
      <c r="I31" s="11" t="inlineStr">
        <is>
          <t>flutter build appbundle --release</t>
        </is>
      </c>
      <c r="J31" s="11" t="inlineStr"/>
      <c r="K31" s="11" t="inlineStr">
        <is>
          <t>Mac, 8 GB RAM</t>
        </is>
      </c>
      <c r="L31" s="11" t="inlineStr"/>
      <c r="M31" s="11" t="inlineStr">
        <is>
          <t>In progress</t>
        </is>
      </c>
      <c r="N31" s="11" t="inlineStr"/>
      <c r="O31" s="11" t="inlineStr"/>
      <c r="P31" s="11" t="inlineStr">
        <is>
          <t>None</t>
        </is>
      </c>
      <c r="Q31" s="11" t="inlineStr"/>
      <c r="R31" s="11" t="inlineStr">
        <is>
          <t>1.0.0+8 bundle not built yet.</t>
        </is>
      </c>
    </row>
  </sheetData>
  <autoFilter ref="A1:R31"/>
  <conditionalFormatting sqref="G2:G4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M2:M400">
    <cfRule type="cellIs" priority="5" operator="equal" dxfId="4">
      <formula>"Fixed (in code)"</formula>
    </cfRule>
    <cfRule type="cellIs" priority="6" operator="equal" dxfId="4">
      <formula>"Released"</formula>
    </cfRule>
    <cfRule type="cellIs" priority="7" operator="equal" dxfId="4">
      <formula>"Verified"</formula>
    </cfRule>
    <cfRule type="cellIs" priority="8" operator="equal" dxfId="4">
      <formula>"Closed"</formula>
    </cfRule>
    <cfRule type="cellIs" priority="9" operator="equal" dxfId="5">
      <formula>"New"</formula>
    </cfRule>
    <cfRule type="cellIs" priority="10" operator="equal" dxfId="5">
      <formula>"Confirmed"</formula>
    </cfRule>
    <cfRule type="cellIs" priority="11" operator="equal" dxfId="5">
      <formula>"In progress"</formula>
    </cfRule>
    <cfRule type="cellIs" priority="12" operator="equal" dxfId="5">
      <formula>"Needs decision"</formula>
    </cfRule>
    <cfRule type="cellIs" priority="13" operator="equal" dxfId="3">
      <formula>"Can't reproduce"</formula>
    </cfRule>
    <cfRule type="cellIs" priority="14" operator="equal" dxfId="3">
      <formula>"Won't fix"</formula>
    </cfRule>
  </conditionalFormatting>
  <dataValidations count="5">
    <dataValidation sqref="D2:D400" showDropDown="0" showInputMessage="0" showErrorMessage="0" allowBlank="1" type="list">
      <formula1>=Lists!$E$2:$E$8</formula1>
    </dataValidation>
    <dataValidation sqref="F2:F400" showDropDown="0" showInputMessage="0" showErrorMessage="0" allowBlank="1" type="list">
      <formula1>=Lists!$A$2:$A$8</formula1>
    </dataValidation>
    <dataValidation sqref="G2:G400" showDropDown="0" showInputMessage="0" showErrorMessage="0" allowBlank="1" type="list">
      <formula1>=Lists!$B$2:$B$5</formula1>
    </dataValidation>
    <dataValidation sqref="M2:M400" showDropDown="0" showInputMessage="0" showErrorMessage="0" allowBlank="1" type="list">
      <formula1>=Lists!$C$2:$C$11</formula1>
    </dataValidation>
    <dataValidation sqref="P2:P400" showDropDown="0" showInputMessage="0" showErrorMessage="0" allowBlank="1" type="list">
      <formula1>=Lists!$D$2:$D$8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14" customWidth="1" min="3" max="3"/>
    <col width="14" customWidth="1" min="4" max="4"/>
    <col width="26" customWidth="1" min="5" max="5"/>
    <col width="13" customWidth="1" min="6" max="6"/>
    <col width="10" customWidth="1" min="7" max="7"/>
    <col width="62" customWidth="1" min="8" max="8"/>
    <col width="28" customWidth="1" min="9" max="9"/>
    <col width="28" customWidth="1" min="10" max="10"/>
    <col width="20" customWidth="1" min="11" max="11"/>
    <col width="12" customWidth="1" min="12" max="12"/>
    <col width="18" customWidth="1" min="13" max="13"/>
    <col width="15" customWidth="1" min="14" max="14"/>
    <col width="13" customWidth="1" min="15" max="15"/>
    <col width="26" customWidth="1" min="16" max="16"/>
    <col width="18" customWidth="1" min="17" max="17"/>
    <col width="20" customWidth="1" min="18" max="18"/>
    <col width="40" customWidth="1" min="19" max="19"/>
  </cols>
  <sheetData>
    <row r="1" ht="34" customHeight="1">
      <c r="A1" s="9" t="inlineStr">
        <is>
          <t>Sr no</t>
        </is>
      </c>
      <c r="B1" s="9" t="inlineStr">
        <is>
          <t>Date reported</t>
        </is>
      </c>
      <c r="C1" s="9" t="inlineStr">
        <is>
          <t>Reported by</t>
        </is>
      </c>
      <c r="D1" s="9" t="inlineStr">
        <is>
          <t>Source</t>
        </is>
      </c>
      <c r="E1" s="9" t="inlineStr">
        <is>
          <t>Page / capability</t>
        </is>
      </c>
      <c r="F1" s="9" t="inlineStr">
        <is>
          <t>Type</t>
        </is>
      </c>
      <c r="G1" s="9" t="inlineStr">
        <is>
          <t>Severity</t>
        </is>
      </c>
      <c r="H1" s="9" t="inlineStr">
        <is>
          <t>Issue / Fix</t>
        </is>
      </c>
      <c r="I1" s="9" t="inlineStr">
        <is>
          <t>Steps to reproduce</t>
        </is>
      </c>
      <c r="J1" s="9" t="inlineStr">
        <is>
          <t>Expected vs actual</t>
        </is>
      </c>
      <c r="K1" s="9" t="inlineStr">
        <is>
          <t>Role affected</t>
        </is>
      </c>
      <c r="L1" s="9" t="inlineStr">
        <is>
          <t>Browser</t>
        </is>
      </c>
      <c r="M1" s="9" t="inlineStr">
        <is>
          <t>Evidence (link)</t>
        </is>
      </c>
      <c r="N1" s="9" t="inlineStr">
        <is>
          <t>Status</t>
        </is>
      </c>
      <c r="O1" s="9" t="inlineStr">
        <is>
          <t>Assigned to</t>
        </is>
      </c>
      <c r="P1" s="9" t="inlineStr">
        <is>
          <t>Fixed in (version / commit)</t>
        </is>
      </c>
      <c r="Q1" s="9" t="inlineStr">
        <is>
          <t>Fix needs</t>
        </is>
      </c>
      <c r="R1" s="9" t="inlineStr">
        <is>
          <t>Verified by / date</t>
        </is>
      </c>
      <c r="S1" s="9" t="inlineStr">
        <is>
          <t>Notes / root cause</t>
        </is>
      </c>
    </row>
    <row r="2">
      <c r="A2" s="10" t="n">
        <v>1</v>
      </c>
      <c r="B2" s="10" t="inlineStr"/>
      <c r="C2" s="11" t="inlineStr">
        <is>
          <t>Owner</t>
        </is>
      </c>
      <c r="D2" s="11" t="inlineStr">
        <is>
          <t>Owner</t>
        </is>
      </c>
      <c r="E2" s="11" t="inlineStr">
        <is>
          <t>Ghost IDs (Super Admin)</t>
        </is>
      </c>
      <c r="F2" s="10" t="inlineStr">
        <is>
          <t>Improvement</t>
        </is>
      </c>
      <c r="G2" s="10" t="inlineStr">
        <is>
          <t>Medium</t>
        </is>
      </c>
      <c r="H2" s="11" t="inlineStr">
        <is>
          <t>Ghost accounts: invisible view-only monitoring logins managed by Super Admin.</t>
        </is>
      </c>
      <c r="I2" s="11" t="inlineStr">
        <is>
          <t>-</t>
        </is>
      </c>
      <c r="J2" s="11" t="inlineStr"/>
      <c r="K2" s="11" t="inlineStr">
        <is>
          <t>Super Admin</t>
        </is>
      </c>
      <c r="L2" s="11" t="inlineStr"/>
      <c r="M2" s="11" t="inlineStr"/>
      <c r="N2" s="11" t="inlineStr">
        <is>
          <t>Fixed (in code)</t>
        </is>
      </c>
      <c r="O2" s="11" t="inlineStr"/>
      <c r="P2" s="11" t="inlineStr">
        <is>
          <t>Oct 3</t>
        </is>
      </c>
      <c r="Q2" s="11" t="inlineStr">
        <is>
          <t>Database migration</t>
        </is>
      </c>
      <c r="R2" s="11" t="inlineStr"/>
      <c r="S2" s="11" t="inlineStr">
        <is>
          <t>Edge function ghost-admin deployed.</t>
        </is>
      </c>
    </row>
    <row r="3">
      <c r="A3" s="10" t="n">
        <v>2</v>
      </c>
      <c r="B3" s="10" t="inlineStr"/>
      <c r="C3" s="11" t="inlineStr">
        <is>
          <t>Owner</t>
        </is>
      </c>
      <c r="D3" s="11" t="inlineStr">
        <is>
          <t>Owner</t>
        </is>
      </c>
      <c r="E3" s="11" t="inlineStr">
        <is>
          <t>Live Monitor</t>
        </is>
      </c>
      <c r="F3" s="10" t="inlineStr">
        <is>
          <t>Improvement</t>
        </is>
      </c>
      <c r="G3" s="10" t="inlineStr">
        <is>
          <t>Medium</t>
        </is>
      </c>
      <c r="H3" s="11" t="inlineStr">
        <is>
          <t>Super Admin and Master can watch any live invisibly from the panel (capability monitor_lives).</t>
        </is>
      </c>
      <c r="I3" s="11" t="inlineStr">
        <is>
          <t>-</t>
        </is>
      </c>
      <c r="J3" s="11" t="inlineStr"/>
      <c r="K3" s="11" t="inlineStr">
        <is>
          <t>Super Admin, Master</t>
        </is>
      </c>
      <c r="L3" s="11" t="inlineStr"/>
      <c r="M3" s="11" t="inlineStr"/>
      <c r="N3" s="11" t="inlineStr">
        <is>
          <t>Fixed (in code)</t>
        </is>
      </c>
      <c r="O3" s="11" t="inlineStr"/>
      <c r="P3" s="11" t="inlineStr">
        <is>
          <t>Oct 3</t>
        </is>
      </c>
      <c r="Q3" s="11" t="inlineStr">
        <is>
          <t>Panel deploy</t>
        </is>
      </c>
      <c r="R3" s="11" t="inlineStr"/>
      <c r="S3" s="11" t="inlineStr"/>
    </row>
    <row r="4">
      <c r="A4" s="10" t="n">
        <v>3</v>
      </c>
      <c r="B4" s="10" t="inlineStr"/>
      <c r="C4" s="11" t="inlineStr">
        <is>
          <t>Owner</t>
        </is>
      </c>
      <c r="D4" s="11" t="inlineStr">
        <is>
          <t>Owner</t>
        </is>
      </c>
      <c r="E4" s="11" t="inlineStr">
        <is>
          <t>Levels</t>
        </is>
      </c>
      <c r="F4" s="10" t="inlineStr">
        <is>
          <t>Improvement</t>
        </is>
      </c>
      <c r="G4" s="10" t="inlineStr">
        <is>
          <t>Medium</t>
        </is>
      </c>
      <c r="H4" s="11" t="inlineStr">
        <is>
          <t>Wealth / Charm levels with XP and a join image, edited by Master.</t>
        </is>
      </c>
      <c r="I4" s="11" t="inlineStr">
        <is>
          <t>-</t>
        </is>
      </c>
      <c r="J4" s="11" t="inlineStr"/>
      <c r="K4" s="11" t="inlineStr">
        <is>
          <t>Master</t>
        </is>
      </c>
      <c r="L4" s="11" t="inlineStr"/>
      <c r="M4" s="11" t="inlineStr"/>
      <c r="N4" s="11" t="inlineStr">
        <is>
          <t>Fixed (in code)</t>
        </is>
      </c>
      <c r="O4" s="11" t="inlineStr"/>
      <c r="P4" s="11" t="inlineStr">
        <is>
          <t>Oct 4 sync batch</t>
        </is>
      </c>
      <c r="Q4" s="11" t="inlineStr">
        <is>
          <t>Panel deploy</t>
        </is>
      </c>
      <c r="R4" s="11" t="inlineStr"/>
      <c r="S4" s="11" t="inlineStr"/>
    </row>
    <row r="5">
      <c r="A5" s="10" t="n">
        <v>4</v>
      </c>
      <c r="B5" s="10" t="inlineStr"/>
      <c r="C5" s="11" t="inlineStr">
        <is>
          <t>Owner</t>
        </is>
      </c>
      <c r="D5" s="11" t="inlineStr">
        <is>
          <t>Owner</t>
        </is>
      </c>
      <c r="E5" s="11" t="inlineStr">
        <is>
          <t>Coin sellers</t>
        </is>
      </c>
      <c r="F5" s="10" t="inlineStr">
        <is>
          <t>Improvement</t>
        </is>
      </c>
      <c r="G5" s="10" t="inlineStr">
        <is>
          <t>Medium</t>
        </is>
      </c>
      <c r="H5" s="11" t="inlineStr">
        <is>
          <t>Coin sellers are linked to real users and show their profile.</t>
        </is>
      </c>
      <c r="I5" s="11" t="inlineStr">
        <is>
          <t>-</t>
        </is>
      </c>
      <c r="J5" s="11" t="inlineStr"/>
      <c r="K5" s="11" t="inlineStr">
        <is>
          <t>Master</t>
        </is>
      </c>
      <c r="L5" s="11" t="inlineStr"/>
      <c r="M5" s="11" t="inlineStr"/>
      <c r="N5" s="11" t="inlineStr">
        <is>
          <t>Fixed (in code)</t>
        </is>
      </c>
      <c r="O5" s="11" t="inlineStr"/>
      <c r="P5" s="11" t="inlineStr">
        <is>
          <t>Oct 4 sync batch</t>
        </is>
      </c>
      <c r="Q5" s="11" t="inlineStr">
        <is>
          <t>Panel deploy</t>
        </is>
      </c>
      <c r="R5" s="11" t="inlineStr"/>
      <c r="S5" s="11" t="inlineStr"/>
    </row>
    <row r="6">
      <c r="A6" s="10" t="n">
        <v>5</v>
      </c>
      <c r="B6" s="10" t="inlineStr"/>
      <c r="C6" s="11" t="inlineStr">
        <is>
          <t>Owner</t>
        </is>
      </c>
      <c r="D6" s="11" t="inlineStr">
        <is>
          <t>Owner</t>
        </is>
      </c>
      <c r="E6" s="11" t="inlineStr">
        <is>
          <t>Support chat</t>
        </is>
      </c>
      <c r="F6" s="10" t="inlineStr">
        <is>
          <t>Improvement</t>
        </is>
      </c>
      <c r="G6" s="10" t="inlineStr">
        <is>
          <t>Medium</t>
        </is>
      </c>
      <c r="H6" s="11" t="inlineStr">
        <is>
          <t>Two-way support chat for Master and Super Admin.</t>
        </is>
      </c>
      <c r="I6" s="11" t="inlineStr">
        <is>
          <t>-</t>
        </is>
      </c>
      <c r="J6" s="11" t="inlineStr"/>
      <c r="K6" s="11" t="inlineStr">
        <is>
          <t>Master, Super Admin</t>
        </is>
      </c>
      <c r="L6" s="11" t="inlineStr"/>
      <c r="M6" s="11" t="inlineStr"/>
      <c r="N6" s="11" t="inlineStr">
        <is>
          <t>Fixed (in code)</t>
        </is>
      </c>
      <c r="O6" s="11" t="inlineStr"/>
      <c r="P6" s="11" t="inlineStr">
        <is>
          <t>Oct 4 sync batch</t>
        </is>
      </c>
      <c r="Q6" s="11" t="inlineStr">
        <is>
          <t>Panel deploy</t>
        </is>
      </c>
      <c r="R6" s="11" t="inlineStr"/>
      <c r="S6" s="11" t="inlineStr"/>
    </row>
    <row r="7">
      <c r="A7" s="10" t="n">
        <v>6</v>
      </c>
      <c r="B7" s="10" t="inlineStr"/>
      <c r="C7" s="11" t="inlineStr">
        <is>
          <t>Owner</t>
        </is>
      </c>
      <c r="D7" s="11" t="inlineStr">
        <is>
          <t>Owner</t>
        </is>
      </c>
      <c r="E7" s="11" t="inlineStr">
        <is>
          <t>Lucky IDs</t>
        </is>
      </c>
      <c r="F7" s="10" t="inlineStr">
        <is>
          <t>Improvement</t>
        </is>
      </c>
      <c r="G7" s="10" t="inlineStr">
        <is>
          <t>Medium</t>
        </is>
      </c>
      <c r="H7" s="11" t="inlineStr">
        <is>
          <t>Lucky ID catalogue. Leading zeros allowed (0786); the app shows the padded ID.</t>
        </is>
      </c>
      <c r="I7" s="11" t="inlineStr">
        <is>
          <t>-</t>
        </is>
      </c>
      <c r="J7" s="11" t="inlineStr"/>
      <c r="K7" s="11" t="inlineStr">
        <is>
          <t>Master</t>
        </is>
      </c>
      <c r="L7" s="11" t="inlineStr"/>
      <c r="M7" s="11" t="inlineStr"/>
      <c r="N7" s="11" t="inlineStr">
        <is>
          <t>Fixed (in code)</t>
        </is>
      </c>
      <c r="O7" s="11" t="inlineStr"/>
      <c r="P7" s="11" t="inlineStr">
        <is>
          <t>416ac77 / migration 20261005090000</t>
        </is>
      </c>
      <c r="Q7" s="11" t="inlineStr">
        <is>
          <t>Database migration</t>
        </is>
      </c>
      <c r="R7" s="11" t="inlineStr"/>
      <c r="S7" s="11" t="inlineStr">
        <is>
          <t>Migration already applied by hand before the push; now recorded.</t>
        </is>
      </c>
    </row>
    <row r="8">
      <c r="A8" s="10" t="n">
        <v>7</v>
      </c>
      <c r="B8" s="10" t="inlineStr"/>
      <c r="C8" s="11" t="inlineStr">
        <is>
          <t>Owner</t>
        </is>
      </c>
      <c r="D8" s="11" t="inlineStr">
        <is>
          <t>Owner</t>
        </is>
      </c>
      <c r="E8" s="11" t="inlineStr">
        <is>
          <t>Users &gt; Bag / Edit profile</t>
        </is>
      </c>
      <c r="F8" s="10" t="inlineStr">
        <is>
          <t>Improvement</t>
        </is>
      </c>
      <c r="G8" s="10" t="inlineStr">
        <is>
          <t>Medium</t>
        </is>
      </c>
      <c r="H8" s="11" t="inlineStr">
        <is>
          <t>Assign entry effect, vehicle, frame, room skin, badge or Lucky ID; edit a user's profile.</t>
        </is>
      </c>
      <c r="I8" s="11" t="inlineStr">
        <is>
          <t>-</t>
        </is>
      </c>
      <c r="J8" s="11" t="inlineStr"/>
      <c r="K8" s="11" t="inlineStr">
        <is>
          <t>Master</t>
        </is>
      </c>
      <c r="L8" s="11" t="inlineStr"/>
      <c r="M8" s="11" t="inlineStr"/>
      <c r="N8" s="11" t="inlineStr">
        <is>
          <t>Fixed (in code)</t>
        </is>
      </c>
      <c r="O8" s="11" t="inlineStr"/>
      <c r="P8" s="11" t="inlineStr">
        <is>
          <t>Oct 4 sync batch</t>
        </is>
      </c>
      <c r="Q8" s="11" t="inlineStr">
        <is>
          <t>Panel deploy</t>
        </is>
      </c>
      <c r="R8" s="11" t="inlineStr"/>
      <c r="S8" s="11" t="inlineStr"/>
    </row>
    <row r="9">
      <c r="A9" s="10" t="n">
        <v>8</v>
      </c>
      <c r="B9" s="10" t="inlineStr"/>
      <c r="C9" s="11" t="inlineStr">
        <is>
          <t>Owner</t>
        </is>
      </c>
      <c r="D9" s="11" t="inlineStr">
        <is>
          <t>Owner</t>
        </is>
      </c>
      <c r="E9" s="11" t="inlineStr">
        <is>
          <t>Staff seats</t>
        </is>
      </c>
      <c r="F9" s="10" t="inlineStr">
        <is>
          <t>Improvement</t>
        </is>
      </c>
      <c r="G9" s="10" t="inlineStr">
        <is>
          <t>Medium</t>
        </is>
      </c>
      <c r="H9" s="11" t="inlineStr">
        <is>
          <t>Master hands a staff seat (with everything it owns) to another user.</t>
        </is>
      </c>
      <c r="I9" s="11" t="inlineStr">
        <is>
          <t>-</t>
        </is>
      </c>
      <c r="J9" s="11" t="inlineStr"/>
      <c r="K9" s="11" t="inlineStr">
        <is>
          <t>Master</t>
        </is>
      </c>
      <c r="L9" s="11" t="inlineStr"/>
      <c r="M9" s="11" t="inlineStr"/>
      <c r="N9" s="11" t="inlineStr">
        <is>
          <t>Fixed (in code)</t>
        </is>
      </c>
      <c r="O9" s="11" t="inlineStr"/>
      <c r="P9" s="11" t="inlineStr">
        <is>
          <t>Oct 4 sync batch</t>
        </is>
      </c>
      <c r="Q9" s="11" t="inlineStr">
        <is>
          <t>Database migration</t>
        </is>
      </c>
      <c r="R9" s="11" t="inlineStr"/>
      <c r="S9" s="11" t="inlineStr"/>
    </row>
    <row r="10">
      <c r="A10" s="10" t="n">
        <v>9</v>
      </c>
      <c r="B10" s="10" t="inlineStr">
        <is>
          <t>2026-10-05</t>
        </is>
      </c>
      <c r="C10" s="11" t="inlineStr">
        <is>
          <t>Owner</t>
        </is>
      </c>
      <c r="D10" s="11" t="inlineStr">
        <is>
          <t>Owner</t>
        </is>
      </c>
      <c r="E10" s="11" t="inlineStr">
        <is>
          <t>Revoked Users</t>
        </is>
      </c>
      <c r="F10" s="10" t="inlineStr">
        <is>
          <t>Bug</t>
        </is>
      </c>
      <c r="G10" s="10" t="inlineStr">
        <is>
          <t>Medium</t>
        </is>
      </c>
      <c r="H10" s="11" t="inlineStr">
        <is>
          <t>Lift revoke restores the account instantly; Super Admin and Master may lift any revoke, including agency-manager revokes.</t>
        </is>
      </c>
      <c r="I10" s="11" t="inlineStr">
        <is>
          <t>Revoked Users &gt; Lift revoke</t>
        </is>
      </c>
      <c r="J10" s="11" t="inlineStr"/>
      <c r="K10" s="11" t="inlineStr">
        <is>
          <t>Super Admin, Master</t>
        </is>
      </c>
      <c r="L10" s="11" t="inlineStr"/>
      <c r="M10" s="11" t="inlineStr"/>
      <c r="N10" s="11" t="inlineStr">
        <is>
          <t>Fixed (in code)</t>
        </is>
      </c>
      <c r="O10" s="11" t="inlineStr"/>
      <c r="P10" s="11" t="inlineStr">
        <is>
          <t>7bdd076, 4ef891c, f213e62; migrations 20261005120000 and 140000</t>
        </is>
      </c>
      <c r="Q10" s="11" t="inlineStr">
        <is>
          <t>Database migration</t>
        </is>
      </c>
      <c r="R10" s="11" t="inlineStr"/>
      <c r="S10" s="11" t="inlineStr">
        <is>
          <t>Migrations recorded in prod on 2026-10-06.</t>
        </is>
      </c>
    </row>
    <row r="11">
      <c r="A11" s="10" t="n">
        <v>10</v>
      </c>
      <c r="B11" s="10" t="inlineStr">
        <is>
          <t>2026-10-05</t>
        </is>
      </c>
      <c r="C11" s="11" t="inlineStr">
        <is>
          <t>Owner</t>
        </is>
      </c>
      <c r="D11" s="11" t="inlineStr">
        <is>
          <t>Owner</t>
        </is>
      </c>
      <c r="E11" s="11" t="inlineStr">
        <is>
          <t>Staff creation</t>
        </is>
      </c>
      <c r="F11" s="10" t="inlineStr">
        <is>
          <t>Improvement</t>
        </is>
      </c>
      <c r="G11" s="10" t="inlineStr">
        <is>
          <t>Medium</t>
        </is>
      </c>
      <c r="H11" s="11" t="inlineStr">
        <is>
          <t>Super Admin may create an agency manager login.</t>
        </is>
      </c>
      <c r="I11" s="11" t="inlineStr">
        <is>
          <t>Edit Agency &gt; assign manager</t>
        </is>
      </c>
      <c r="J11" s="11" t="inlineStr"/>
      <c r="K11" s="11" t="inlineStr">
        <is>
          <t>Super Admin</t>
        </is>
      </c>
      <c r="L11" s="11" t="inlineStr"/>
      <c r="M11" s="11" t="inlineStr"/>
      <c r="N11" s="11" t="inlineStr">
        <is>
          <t>Fixed (in code)</t>
        </is>
      </c>
      <c r="O11" s="11" t="inlineStr"/>
      <c r="P11" s="11" t="inlineStr">
        <is>
          <t>e74cc9e; migration 20261005160000</t>
        </is>
      </c>
      <c r="Q11" s="11" t="inlineStr">
        <is>
          <t>Database migration</t>
        </is>
      </c>
      <c r="R11" s="11" t="inlineStr"/>
      <c r="S11" s="11" t="inlineStr"/>
    </row>
    <row r="12">
      <c r="A12" s="10" t="n">
        <v>11</v>
      </c>
      <c r="B12" s="10" t="inlineStr">
        <is>
          <t>2026-10-05</t>
        </is>
      </c>
      <c r="C12" s="11" t="inlineStr">
        <is>
          <t>Owner</t>
        </is>
      </c>
      <c r="D12" s="11" t="inlineStr">
        <is>
          <t>Owner</t>
        </is>
      </c>
      <c r="E12" s="11" t="inlineStr">
        <is>
          <t>Edit Agency</t>
        </is>
      </c>
      <c r="F12" s="10" t="inlineStr">
        <is>
          <t>Bug</t>
        </is>
      </c>
      <c r="G12" s="10" t="inlineStr">
        <is>
          <t>Low</t>
        </is>
      </c>
      <c r="H12" s="11" t="inlineStr">
        <is>
          <t>Browser autofill filled manager email/password when assigning a new manager. FIX: ignore autofilled fields when no email; stop password autofill; do not update the manager login.</t>
        </is>
      </c>
      <c r="I12" s="11" t="inlineStr">
        <is>
          <t>Edit Agency</t>
        </is>
      </c>
      <c r="J12" s="11" t="inlineStr"/>
      <c r="K12" s="11" t="inlineStr">
        <is>
          <t>Super Admin</t>
        </is>
      </c>
      <c r="L12" s="11" t="inlineStr"/>
      <c r="M12" s="11" t="inlineStr"/>
      <c r="N12" s="11" t="inlineStr">
        <is>
          <t>Fixed (in code)</t>
        </is>
      </c>
      <c r="O12" s="11" t="inlineStr"/>
      <c r="P12" s="11" t="inlineStr">
        <is>
          <t>05062b8, a4f31c3</t>
        </is>
      </c>
      <c r="Q12" s="11" t="inlineStr">
        <is>
          <t>Panel deploy</t>
        </is>
      </c>
      <c r="R12" s="11" t="inlineStr"/>
      <c r="S12" s="11" t="inlineStr"/>
    </row>
    <row r="13">
      <c r="A13" s="10" t="n">
        <v>12</v>
      </c>
      <c r="B13" s="10" t="inlineStr">
        <is>
          <t>2026-10-05</t>
        </is>
      </c>
      <c r="C13" s="11" t="inlineStr">
        <is>
          <t>Owner</t>
        </is>
      </c>
      <c r="D13" s="11" t="inlineStr">
        <is>
          <t>Owner</t>
        </is>
      </c>
      <c r="E13" s="11" t="inlineStr">
        <is>
          <t>Restrict dialog</t>
        </is>
      </c>
      <c r="F13" s="10" t="inlineStr">
        <is>
          <t>Bug</t>
        </is>
      </c>
      <c r="G13" s="10" t="inlineStr">
        <is>
          <t>Low</t>
        </is>
      </c>
      <c r="H13" s="11" t="inlineStr">
        <is>
          <t>Say when a user has no active bans; show load errors.</t>
        </is>
      </c>
      <c r="I13" s="11" t="inlineStr">
        <is>
          <t>Users &gt; Restrict</t>
        </is>
      </c>
      <c r="J13" s="11" t="inlineStr"/>
      <c r="K13" s="11" t="inlineStr">
        <is>
          <t>Master</t>
        </is>
      </c>
      <c r="L13" s="11" t="inlineStr"/>
      <c r="M13" s="11" t="inlineStr"/>
      <c r="N13" s="11" t="inlineStr">
        <is>
          <t>Fixed (in code)</t>
        </is>
      </c>
      <c r="O13" s="11" t="inlineStr"/>
      <c r="P13" s="11" t="inlineStr">
        <is>
          <t>0c78788</t>
        </is>
      </c>
      <c r="Q13" s="11" t="inlineStr">
        <is>
          <t>Panel deploy</t>
        </is>
      </c>
      <c r="R13" s="11" t="inlineStr"/>
      <c r="S13" s="11" t="inlineStr"/>
    </row>
    <row r="14">
      <c r="A14" s="10" t="n">
        <v>13</v>
      </c>
      <c r="B14" s="10" t="inlineStr">
        <is>
          <t>2026-10-05</t>
        </is>
      </c>
      <c r="C14" s="11" t="inlineStr">
        <is>
          <t>Owner</t>
        </is>
      </c>
      <c r="D14" s="11" t="inlineStr">
        <is>
          <t>Owner</t>
        </is>
      </c>
      <c r="E14" s="11" t="inlineStr">
        <is>
          <t>Top bar</t>
        </is>
      </c>
      <c r="F14" s="10" t="inlineStr">
        <is>
          <t>Bug</t>
        </is>
      </c>
      <c r="G14" s="10" t="inlineStr">
        <is>
          <t>Medium</t>
        </is>
      </c>
      <c r="H14" s="11" t="inlineStr">
        <is>
          <t>Super Admin saw a meaningless 0 wallet. FIX: shows the treasury; minters see what they can distribute.</t>
        </is>
      </c>
      <c r="I14" s="11" t="inlineStr">
        <is>
          <t>Open the panel as Super Admin</t>
        </is>
      </c>
      <c r="J14" s="11" t="inlineStr"/>
      <c r="K14" s="11" t="inlineStr">
        <is>
          <t>Super Admin</t>
        </is>
      </c>
      <c r="L14" s="11" t="inlineStr"/>
      <c r="M14" s="11" t="inlineStr"/>
      <c r="N14" s="11" t="inlineStr">
        <is>
          <t>Fixed (in code)</t>
        </is>
      </c>
      <c r="O14" s="11" t="inlineStr"/>
      <c r="P14" s="11" t="inlineStr">
        <is>
          <t>cf4d71e</t>
        </is>
      </c>
      <c r="Q14" s="11" t="inlineStr">
        <is>
          <t>Panel deploy</t>
        </is>
      </c>
      <c r="R14" s="11" t="inlineStr"/>
      <c r="S14" s="11" t="inlineStr"/>
    </row>
    <row r="15">
      <c r="A15" s="10" t="n">
        <v>14</v>
      </c>
      <c r="B15" s="10" t="inlineStr">
        <is>
          <t>2026-10-05</t>
        </is>
      </c>
      <c r="C15" s="11" t="inlineStr">
        <is>
          <t>Owner</t>
        </is>
      </c>
      <c r="D15" s="11" t="inlineStr">
        <is>
          <t>Owner</t>
        </is>
      </c>
      <c r="E15" s="11" t="inlineStr">
        <is>
          <t>Agency / Sub / Country panels</t>
        </is>
      </c>
      <c r="F15" s="10" t="inlineStr">
        <is>
          <t>Bug</t>
        </is>
      </c>
      <c r="G15" s="10" t="inlineStr">
        <is>
          <t>High</t>
        </is>
      </c>
      <c r="H15" s="11" t="inlineStr">
        <is>
          <t>Hosts' coins and diamonds showed as 0 for roles that could not read the wallets. FIX: a staff member can read the wallet of a host in an agency they manage; User Management gets a Diamonds column; a wallet a role can't read shows a dash, not a false 0.</t>
        </is>
      </c>
      <c r="I15" s="11" t="inlineStr">
        <is>
          <t>Open host lists as an Agency/Sub/Country admin</t>
        </is>
      </c>
      <c r="J15" s="11" t="inlineStr"/>
      <c r="K15" s="11" t="inlineStr">
        <is>
          <t>Agency, Sub, Country</t>
        </is>
      </c>
      <c r="L15" s="11" t="inlineStr"/>
      <c r="M15" s="11" t="inlineStr"/>
      <c r="N15" s="11" t="inlineStr">
        <is>
          <t>Fixed (in code)</t>
        </is>
      </c>
      <c r="O15" s="11" t="inlineStr"/>
      <c r="P15" s="11" t="inlineStr">
        <is>
          <t>15be4f6; migration 20261005200000</t>
        </is>
      </c>
      <c r="Q15" s="11" t="inlineStr">
        <is>
          <t>Database migration</t>
        </is>
      </c>
      <c r="R15" s="11" t="inlineStr"/>
      <c r="S15" s="11" t="inlineStr">
        <is>
          <t>Policy already existed in prod before the push.</t>
        </is>
      </c>
    </row>
    <row r="16">
      <c r="A16" s="10" t="n">
        <v>15</v>
      </c>
      <c r="B16" s="10" t="inlineStr">
        <is>
          <t>2026-10-05</t>
        </is>
      </c>
      <c r="C16" s="11" t="inlineStr">
        <is>
          <t>Investigation</t>
        </is>
      </c>
      <c r="D16" s="11" t="inlineStr">
        <is>
          <t>Investigation</t>
        </is>
      </c>
      <c r="E16" s="11" t="inlineStr">
        <is>
          <t>Maintenance</t>
        </is>
      </c>
      <c r="F16" s="10" t="inlineStr">
        <is>
          <t>Improvement</t>
        </is>
      </c>
      <c r="G16" s="10" t="inlineStr">
        <is>
          <t>Medium</t>
        </is>
      </c>
      <c r="H16" s="11" t="inlineStr">
        <is>
          <t>When the maintenance window passes and auto-end is off, maintenance stays on silently. Proposal: show a warning on the Maintenance page and a one-click End now.</t>
        </is>
      </c>
      <c r="I16" s="11" t="inlineStr">
        <is>
          <t>Start maintenance with auto-end off</t>
        </is>
      </c>
      <c r="J16" s="11" t="inlineStr">
        <is>
          <t>Expected: a reminder. Actual: stays locked after the window.</t>
        </is>
      </c>
      <c r="K16" s="11" t="inlineStr">
        <is>
          <t>Super Admin</t>
        </is>
      </c>
      <c r="L16" s="11" t="inlineStr"/>
      <c r="M16" s="11" t="inlineStr"/>
      <c r="N16" s="11" t="inlineStr">
        <is>
          <t>New</t>
        </is>
      </c>
      <c r="O16" s="11" t="inlineStr"/>
      <c r="P16" s="11" t="inlineStr"/>
      <c r="Q16" s="11" t="inlineStr">
        <is>
          <t>Panel deploy</t>
        </is>
      </c>
      <c r="R16" s="11" t="inlineStr"/>
      <c r="S16" s="11" t="inlineStr">
        <is>
          <t>Seen on 2026-10-05: window ended 19:49 UTC, app stayed locked.</t>
        </is>
      </c>
    </row>
    <row r="17">
      <c r="A17" s="10" t="n">
        <v>16</v>
      </c>
      <c r="B17" s="10" t="inlineStr">
        <is>
          <t>2026-10-05</t>
        </is>
      </c>
      <c r="C17" s="11" t="inlineStr">
        <is>
          <t>Investigation</t>
        </is>
      </c>
      <c r="D17" s="11" t="inlineStr">
        <is>
          <t>Investigation</t>
        </is>
      </c>
      <c r="E17" s="11" t="inlineStr">
        <is>
          <t>Maintenance</t>
        </is>
      </c>
      <c r="F17" s="10" t="inlineStr">
        <is>
          <t>Improvement</t>
        </is>
      </c>
      <c r="G17" s="10" t="inlineStr">
        <is>
          <t>Medium</t>
        </is>
      </c>
      <c r="H17" s="11" t="inlineStr">
        <is>
          <t>'Log out all users' signed out 126 sessions during the incident and caused a login wave. Proposal: clearer confirmation with the number of sessions it will end.</t>
        </is>
      </c>
      <c r="I17" s="11" t="inlineStr">
        <is>
          <t>Maintenance &gt; Log out all</t>
        </is>
      </c>
      <c r="J17" s="11" t="inlineStr"/>
      <c r="K17" s="11" t="inlineStr">
        <is>
          <t>Super Admin</t>
        </is>
      </c>
      <c r="L17" s="11" t="inlineStr"/>
      <c r="M17" s="11" t="inlineStr"/>
      <c r="N17" s="11" t="inlineStr">
        <is>
          <t>New</t>
        </is>
      </c>
      <c r="O17" s="11" t="inlineStr"/>
      <c r="P17" s="11" t="inlineStr"/>
      <c r="Q17" s="11" t="inlineStr">
        <is>
          <t>Panel deploy</t>
        </is>
      </c>
      <c r="R17" s="11" t="inlineStr"/>
      <c r="S17" s="11" t="inlineStr"/>
    </row>
    <row r="18">
      <c r="A18" s="10" t="n">
        <v>17</v>
      </c>
      <c r="B18" s="10" t="inlineStr"/>
      <c r="C18" s="11" t="inlineStr">
        <is>
          <t>Investigation</t>
        </is>
      </c>
      <c r="D18" s="11" t="inlineStr">
        <is>
          <t>Investigation</t>
        </is>
      </c>
      <c r="E18" s="11" t="inlineStr">
        <is>
          <t>App release settings (new)</t>
        </is>
      </c>
      <c r="F18" s="10" t="inlineStr">
        <is>
          <t>Improvement</t>
        </is>
      </c>
      <c r="G18" s="10" t="inlineStr">
        <is>
          <t>High</t>
        </is>
      </c>
      <c r="H18" s="11" t="inlineStr">
        <is>
          <t>New Super Admin page for the minimum app version, update message and server-side feature switches.</t>
        </is>
      </c>
      <c r="I18" s="11" t="inlineStr">
        <is>
          <t>-</t>
        </is>
      </c>
      <c r="J18" s="11" t="inlineStr"/>
      <c r="K18" s="11" t="inlineStr">
        <is>
          <t>Super Admin</t>
        </is>
      </c>
      <c r="L18" s="11" t="inlineStr"/>
      <c r="M18" s="11" t="inlineStr"/>
      <c r="N18" s="11" t="inlineStr">
        <is>
          <t>In progress</t>
        </is>
      </c>
      <c r="O18" s="11" t="inlineStr"/>
      <c r="P18" s="11" t="inlineStr"/>
      <c r="Q18" s="11" t="inlineStr">
        <is>
          <t>Panel deploy</t>
        </is>
      </c>
      <c r="R18" s="11" t="inlineStr"/>
      <c r="S18" s="11" t="inlineStr">
        <is>
          <t>Part of the production-safety work.</t>
        </is>
      </c>
    </row>
  </sheetData>
  <autoFilter ref="A1:S18"/>
  <conditionalFormatting sqref="G2:G40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N2:N400">
    <cfRule type="cellIs" priority="5" operator="equal" dxfId="4">
      <formula>"Fixed (in code)"</formula>
    </cfRule>
    <cfRule type="cellIs" priority="6" operator="equal" dxfId="4">
      <formula>"Released"</formula>
    </cfRule>
    <cfRule type="cellIs" priority="7" operator="equal" dxfId="4">
      <formula>"Verified"</formula>
    </cfRule>
    <cfRule type="cellIs" priority="8" operator="equal" dxfId="4">
      <formula>"Closed"</formula>
    </cfRule>
    <cfRule type="cellIs" priority="9" operator="equal" dxfId="5">
      <formula>"New"</formula>
    </cfRule>
    <cfRule type="cellIs" priority="10" operator="equal" dxfId="5">
      <formula>"Confirmed"</formula>
    </cfRule>
    <cfRule type="cellIs" priority="11" operator="equal" dxfId="5">
      <formula>"In progress"</formula>
    </cfRule>
    <cfRule type="cellIs" priority="12" operator="equal" dxfId="5">
      <formula>"Needs decision"</formula>
    </cfRule>
    <cfRule type="cellIs" priority="13" operator="equal" dxfId="3">
      <formula>"Can't reproduce"</formula>
    </cfRule>
    <cfRule type="cellIs" priority="14" operator="equal" dxfId="3">
      <formula>"Won't fix"</formula>
    </cfRule>
  </conditionalFormatting>
  <dataValidations count="5">
    <dataValidation sqref="D2:D400" showDropDown="0" showInputMessage="0" showErrorMessage="0" allowBlank="1" type="list">
      <formula1>=Lists!$E$2:$E$8</formula1>
    </dataValidation>
    <dataValidation sqref="F2:F400" showDropDown="0" showInputMessage="0" showErrorMessage="0" allowBlank="1" type="list">
      <formula1>=Lists!$A$2:$A$8</formula1>
    </dataValidation>
    <dataValidation sqref="G2:G400" showDropDown="0" showInputMessage="0" showErrorMessage="0" allowBlank="1" type="list">
      <formula1>=Lists!$B$2:$B$5</formula1>
    </dataValidation>
    <dataValidation sqref="N2:N400" showDropDown="0" showInputMessage="0" showErrorMessage="0" allowBlank="1" type="list">
      <formula1>=Lists!$C$2:$C$11</formula1>
    </dataValidation>
    <dataValidation sqref="Q2:Q400" showDropDown="0" showInputMessage="0" showErrorMessage="0" allowBlank="1" type="list">
      <formula1>=Lists!$D$2:$D$8</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s>
  <sheetData>
    <row r="1">
      <c r="A1" s="12" t="inlineStr">
        <is>
          <t>Type</t>
        </is>
      </c>
      <c r="B1" s="12" t="inlineStr">
        <is>
          <t>Severity</t>
        </is>
      </c>
      <c r="C1" s="12" t="inlineStr">
        <is>
          <t>Status</t>
        </is>
      </c>
      <c r="D1" s="12" t="inlineStr">
        <is>
          <t>Fix needs</t>
        </is>
      </c>
      <c r="E1" s="12" t="inlineStr">
        <is>
          <t>Source</t>
        </is>
      </c>
      <c r="G1" s="8" t="inlineStr">
        <is>
          <t>To change a dropdown, edit the list in its column. Keep each list contiguous (no blank cells in the middle).</t>
        </is>
      </c>
    </row>
    <row r="2">
      <c r="A2" s="13" t="inlineStr">
        <is>
          <t>Bug</t>
        </is>
      </c>
      <c r="B2" s="13" t="inlineStr">
        <is>
          <t>Critical</t>
        </is>
      </c>
      <c r="C2" s="13" t="inlineStr">
        <is>
          <t>New</t>
        </is>
      </c>
      <c r="D2" s="13" t="inlineStr">
        <is>
          <t>None</t>
        </is>
      </c>
      <c r="E2" s="13" t="inlineStr">
        <is>
          <t>Owner</t>
        </is>
      </c>
    </row>
    <row r="3">
      <c r="A3" s="13" t="inlineStr">
        <is>
          <t>Fix</t>
        </is>
      </c>
      <c r="B3" s="13" t="inlineStr">
        <is>
          <t>High</t>
        </is>
      </c>
      <c r="C3" s="13" t="inlineStr">
        <is>
          <t>Confirmed</t>
        </is>
      </c>
      <c r="D3" s="13" t="inlineStr">
        <is>
          <t>Database migration</t>
        </is>
      </c>
      <c r="E3" s="13" t="inlineStr">
        <is>
          <t>Play user</t>
        </is>
      </c>
    </row>
    <row r="4">
      <c r="A4" s="13" t="inlineStr">
        <is>
          <t>Improvement</t>
        </is>
      </c>
      <c r="B4" s="13" t="inlineStr">
        <is>
          <t>Medium</t>
        </is>
      </c>
      <c r="C4" s="13" t="inlineStr">
        <is>
          <t>In progress</t>
        </is>
      </c>
      <c r="D4" s="13" t="inlineStr">
        <is>
          <t>Edge function</t>
        </is>
      </c>
      <c r="E4" s="13" t="inlineStr">
        <is>
          <t>Play Console</t>
        </is>
      </c>
    </row>
    <row r="5">
      <c r="A5" s="13" t="inlineStr">
        <is>
          <t>Security</t>
        </is>
      </c>
      <c r="B5" s="13" t="inlineStr">
        <is>
          <t>Low</t>
        </is>
      </c>
      <c r="C5" s="13" t="inlineStr">
        <is>
          <t>Needs decision</t>
        </is>
      </c>
      <c r="D5" s="13" t="inlineStr">
        <is>
          <t>App build</t>
        </is>
      </c>
      <c r="E5" s="13" t="inlineStr">
        <is>
          <t>App Review</t>
        </is>
      </c>
    </row>
    <row r="6">
      <c r="A6" s="13" t="inlineStr">
        <is>
          <t>Policy</t>
        </is>
      </c>
      <c r="C6" s="13" t="inlineStr">
        <is>
          <t>Fixed (in code)</t>
        </is>
      </c>
      <c r="D6" s="13" t="inlineStr">
        <is>
          <t>Panel deploy</t>
        </is>
      </c>
      <c r="E6" s="13" t="inlineStr">
        <is>
          <t>QA tester</t>
        </is>
      </c>
    </row>
    <row r="7">
      <c r="A7" s="13" t="inlineStr">
        <is>
          <t>Build/Infra</t>
        </is>
      </c>
      <c r="C7" s="13" t="inlineStr">
        <is>
          <t>Released</t>
        </is>
      </c>
      <c r="D7" s="13" t="inlineStr">
        <is>
          <t>Store / console action</t>
        </is>
      </c>
      <c r="E7" s="13" t="inlineStr">
        <is>
          <t>Panel user</t>
        </is>
      </c>
    </row>
    <row r="8">
      <c r="A8" s="13" t="inlineStr">
        <is>
          <t>Question</t>
        </is>
      </c>
      <c r="C8" s="13" t="inlineStr">
        <is>
          <t>Verified</t>
        </is>
      </c>
      <c r="D8" s="13" t="inlineStr">
        <is>
          <t>Decision</t>
        </is>
      </c>
      <c r="E8" s="13" t="inlineStr">
        <is>
          <t>Investigation</t>
        </is>
      </c>
    </row>
    <row r="9">
      <c r="C9" s="13" t="inlineStr">
        <is>
          <t>Closed</t>
        </is>
      </c>
    </row>
    <row r="10">
      <c r="C10" s="13" t="inlineStr">
        <is>
          <t>Can't reproduce</t>
        </is>
      </c>
    </row>
    <row r="11">
      <c r="C11" s="13" t="inlineStr">
        <is>
          <t>Won't fix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2026-10-05T20:39:32Z</dcterms:created>
  <dcterms:modified xsi:type="dcterms:W3CDTF">2026-10-05T20:39:32Z</dcterms:modified>
</cp:coreProperties>
</file>