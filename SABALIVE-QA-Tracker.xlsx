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ummary" sheetId="2" state="visible" r:id="rId2"/>
    <sheet name="App" sheetId="3" state="visible" r:id="rId3"/>
    <sheet name="Panel" sheetId="4" state="visible" r:id="rId4"/>
    <sheet name="Lists" sheetId="5" state="visible" r:id="rId5"/>
  </sheets>
  <definedNames>
    <definedName name="_xlnm._FilterDatabase" localSheetId="2" hidden="1">'App'!$A$1:$R$53</definedName>
    <definedName name="_xlnm._FilterDatabase" localSheetId="3" hidden="1">'Panel'!$A$1:$S$24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3B1F6B"/>
      <sz val="14"/>
    </font>
    <font>
      <name val="Arial"/>
      <b val="1"/>
      <sz val="10"/>
    </font>
    <font>
      <name val="Arial"/>
      <sz val="10"/>
    </font>
    <font>
      <name val="Arial"/>
      <b val="1"/>
      <color rgb="00FFFFFF"/>
      <sz val="10"/>
    </font>
    <font>
      <name val="Arial"/>
      <i val="1"/>
      <sz val="9"/>
    </font>
  </fonts>
  <fills count="3">
    <fill>
      <patternFill/>
    </fill>
    <fill>
      <patternFill patternType="gray125"/>
    </fill>
    <fill>
      <patternFill patternType="solid">
        <fgColor rgb="003B1F6B"/>
      </patternFill>
    </fill>
  </fills>
  <borders count="2">
    <border>
      <left/>
      <right/>
      <top/>
      <bottom/>
      <diagonal/>
    </border>
    <border>
      <left style="thin">
        <color rgb="00D0C8E0"/>
      </left>
      <right style="thin">
        <color rgb="00D0C8E0"/>
      </right>
      <top style="thin">
        <color rgb="00D0C8E0"/>
      </top>
      <bottom style="thin">
        <color rgb="00D0C8E0"/>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xf>
    <xf numFmtId="0" fontId="3" fillId="0" borderId="1" pivotButton="0" quotePrefix="0" xfId="0"/>
    <xf numFmtId="0" fontId="2" fillId="0" borderId="1" pivotButton="0" quotePrefix="0" xfId="0"/>
    <xf numFmtId="0" fontId="2" fillId="0" borderId="0" pivotButton="0" quotePrefix="0" xfId="0"/>
    <xf numFmtId="0" fontId="5"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vertical="top" wrapText="1"/>
    </xf>
    <xf numFmtId="0" fontId="3" fillId="0" borderId="1" applyAlignment="1" pivotButton="0" quotePrefix="0" xfId="0">
      <alignment vertical="top" wrapText="1"/>
    </xf>
    <xf numFmtId="0" fontId="4" fillId="2" borderId="0" pivotButton="0" quotePrefix="0" xfId="0"/>
    <xf numFmtId="0" fontId="3" fillId="0" borderId="0" pivotButton="0" quotePrefix="0" xfId="0"/>
  </cellXfs>
  <cellStyles count="1">
    <cellStyle name="Normal" xfId="0" builtinId="0" hidden="0"/>
  </cellStyles>
  <dxfs count="6">
    <dxf>
      <fill>
        <patternFill patternType="solid">
          <fgColor rgb="00F8B4B4"/>
          <bgColor rgb="00F8B4B4"/>
        </patternFill>
      </fill>
    </dxf>
    <dxf>
      <fill>
        <patternFill patternType="solid">
          <fgColor rgb="00FAD7A0"/>
          <bgColor rgb="00FAD7A0"/>
        </patternFill>
      </fill>
    </dxf>
    <dxf>
      <fill>
        <patternFill patternType="solid">
          <fgColor rgb="00FCF3CF"/>
          <bgColor rgb="00FCF3CF"/>
        </patternFill>
      </fill>
    </dxf>
    <dxf>
      <fill>
        <patternFill patternType="solid">
          <fgColor rgb="00E5E8E8"/>
          <bgColor rgb="00E5E8E8"/>
        </patternFill>
      </fill>
    </dxf>
    <dxf>
      <fill>
        <patternFill patternType="solid">
          <fgColor rgb="00D5F5E3"/>
          <bgColor rgb="00D5F5E3"/>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6"/>
  <sheetViews>
    <sheetView showGridLines="0" workbookViewId="0">
      <selection activeCell="A1" sqref="A1"/>
    </sheetView>
  </sheetViews>
  <sheetFormatPr baseColWidth="8" defaultRowHeight="15"/>
  <cols>
    <col width="3" customWidth="1" min="1" max="1"/>
    <col width="30" customWidth="1" min="2" max="2"/>
    <col width="100" customWidth="1" min="3" max="3"/>
  </cols>
  <sheetData>
    <row r="2">
      <c r="B2" s="1" t="inlineStr">
        <is>
          <t>SABALIVE QA tracker</t>
        </is>
      </c>
    </row>
    <row r="4">
      <c r="B4" s="2" t="inlineStr">
        <is>
          <t>What this is</t>
        </is>
      </c>
      <c r="C4" s="3" t="inlineStr">
        <is>
          <t>One row per issue or fix. The App tab covers the Flutter app (Android and iOS). The Panel tab covers the admin panel. Summary counts everything automatically.</t>
        </is>
      </c>
    </row>
    <row r="5">
      <c r="B5" s="2" t="inlineStr">
        <is>
          <t>Where to type</t>
        </is>
      </c>
      <c r="C5" s="3" t="inlineStr">
        <is>
          <t>Add new rows at the bottom of App or Panel. Type in any cell of a row, or pick from the dropdown in Type, Severity, Status, Source and Fix needs. Leave Summary and Lists alone unless you are changing a dropdown.</t>
        </is>
      </c>
    </row>
    <row r="6">
      <c r="B6" s="2" t="inlineStr">
        <is>
          <t>Sr no</t>
        </is>
      </c>
      <c r="C6" s="3" t="inlineStr">
        <is>
          <t>Numbers each row. Copy the last number + 1 for a new row.</t>
        </is>
      </c>
    </row>
    <row r="7">
      <c r="B7" s="2" t="inlineStr">
        <is>
          <t>Reported by / Source</t>
        </is>
      </c>
      <c r="C7" s="3" t="inlineStr">
        <is>
          <t>Reported by = the person or party. Source = how it reached you: Owner, Play user, Play Console, App Review, QA tester, Panel user, Investigation.</t>
        </is>
      </c>
    </row>
    <row r="8">
      <c r="B8" s="2" t="inlineStr">
        <is>
          <t>Type</t>
        </is>
      </c>
      <c r="C8" s="3" t="inlineStr">
        <is>
          <t>Bug, Fix, Improvement, Security, Policy, Build/Infra, Question.</t>
        </is>
      </c>
    </row>
    <row r="9">
      <c r="B9" s="2" t="inlineStr">
        <is>
          <t>Severity</t>
        </is>
      </c>
      <c r="C9" s="3" t="inlineStr">
        <is>
          <t>Critical = crash, lost money or data, security, or everyone blocked. High = a main feature broken. Medium = a feature degraded. Low = cosmetic.</t>
        </is>
      </c>
    </row>
    <row r="10">
      <c r="B10" s="2" t="inlineStr">
        <is>
          <t>Status flow</t>
        </is>
      </c>
      <c r="C10" s="3" t="inlineStr">
        <is>
          <t>New &gt; Confirmed &gt; In progress &gt; Fixed (in code) &gt; Released &gt; Verified &gt; Closed. Side exits: Needs decision, Can't reproduce, Won't fix. 'Fixed (in code)' means the change exists but users do not have it yet.</t>
        </is>
      </c>
    </row>
    <row r="11">
      <c r="B11" s="2" t="inlineStr">
        <is>
          <t>Fix needs</t>
        </is>
      </c>
      <c r="C11" s="3" t="inlineStr">
        <is>
          <t>What must happen for users to get the fix: Database migration, Edge function, App build, Panel deploy, Store / console action, or Decision. Combine in the cell when more than one applies.</t>
        </is>
      </c>
    </row>
    <row r="12">
      <c r="B12" s="2" t="inlineStr">
        <is>
          <t>Fixed in</t>
        </is>
      </c>
      <c r="C12" s="3" t="inlineStr">
        <is>
          <t>App version (for example 1.0.0+8) or a git commit. For database fixes, the migration number.</t>
        </is>
      </c>
    </row>
    <row r="13">
      <c r="B13" s="2" t="inlineStr">
        <is>
          <t>Verified by / date</t>
        </is>
      </c>
      <c r="C13" s="3" t="inlineStr">
        <is>
          <t>Who retested, on which build, and when. A fix is not done until a person has seen it work.</t>
        </is>
      </c>
    </row>
    <row r="14">
      <c r="B14" s="2" t="inlineStr">
        <is>
          <t>Environment</t>
        </is>
      </c>
      <c r="C14" s="3" t="inlineStr">
        <is>
          <t>App tab: device model, Android/iOS version, app version and code. Many bugs only appear on one OS version (the back-gesture bug only on Android 16).</t>
        </is>
      </c>
    </row>
    <row r="15">
      <c r="B15" s="2" t="inlineStr">
        <is>
          <t>Role affected</t>
        </is>
      </c>
      <c r="C15" s="3" t="inlineStr">
        <is>
          <t>Panel tab: Super Admin, Master, Global, Country, Sub or Agency. Many panel bugs affect one role only.</t>
        </is>
      </c>
    </row>
    <row r="16">
      <c r="B16" s="2" t="inlineStr">
        <is>
          <t>Pre-filled rows</t>
        </is>
      </c>
      <c r="C16" s="3" t="inlineStr">
        <is>
          <t>The rows already here are the real issues from the October 2026 work, so you can see the format. Dates were left blank where they were not known. Statuses reflect the code and database at the time of writing; nothing marked 'Fixed (in code)' on the App tab has reached the Play Store unless Released is shown.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E25"/>
  <sheetViews>
    <sheetView showGridLines="0" workbookViewId="0">
      <selection activeCell="A1" sqref="A1"/>
    </sheetView>
  </sheetViews>
  <sheetFormatPr baseColWidth="8" defaultRowHeight="15"/>
  <cols>
    <col width="3" customWidth="1" min="1" max="1"/>
    <col width="26" customWidth="1" min="2" max="2"/>
    <col width="14" customWidth="1" min="3" max="3"/>
    <col width="14" customWidth="1" min="4" max="4"/>
    <col width="14" customWidth="1" min="5" max="5"/>
  </cols>
  <sheetData>
    <row r="2">
      <c r="B2" s="1" t="inlineStr">
        <is>
          <t>Summary (updates by itself)</t>
        </is>
      </c>
    </row>
    <row r="4">
      <c r="B4" s="4" t="inlineStr">
        <is>
          <t>Status</t>
        </is>
      </c>
      <c r="C4" s="4" t="inlineStr">
        <is>
          <t>App</t>
        </is>
      </c>
      <c r="D4" s="4" t="inlineStr">
        <is>
          <t>Panel</t>
        </is>
      </c>
      <c r="E4" s="4" t="inlineStr">
        <is>
          <t>Total</t>
        </is>
      </c>
    </row>
    <row r="5">
      <c r="B5" s="5">
        <f>Lists!C2</f>
        <v/>
      </c>
      <c r="C5" s="5">
        <f>COUNTIF(App!$M$2:$M$400,B5)</f>
        <v/>
      </c>
      <c r="D5" s="5">
        <f>COUNTIF(Panel!$N$2:$N$400,B5)</f>
        <v/>
      </c>
      <c r="E5" s="5">
        <f>C5+D5</f>
        <v/>
      </c>
    </row>
    <row r="6">
      <c r="B6" s="5">
        <f>Lists!C3</f>
        <v/>
      </c>
      <c r="C6" s="5">
        <f>COUNTIF(App!$M$2:$M$400,B6)</f>
        <v/>
      </c>
      <c r="D6" s="5">
        <f>COUNTIF(Panel!$N$2:$N$400,B6)</f>
        <v/>
      </c>
      <c r="E6" s="5">
        <f>C6+D6</f>
        <v/>
      </c>
    </row>
    <row r="7">
      <c r="B7" s="5">
        <f>Lists!C4</f>
        <v/>
      </c>
      <c r="C7" s="5">
        <f>COUNTIF(App!$M$2:$M$400,B7)</f>
        <v/>
      </c>
      <c r="D7" s="5">
        <f>COUNTIF(Panel!$N$2:$N$400,B7)</f>
        <v/>
      </c>
      <c r="E7" s="5">
        <f>C7+D7</f>
        <v/>
      </c>
    </row>
    <row r="8">
      <c r="B8" s="5">
        <f>Lists!C5</f>
        <v/>
      </c>
      <c r="C8" s="5">
        <f>COUNTIF(App!$M$2:$M$400,B8)</f>
        <v/>
      </c>
      <c r="D8" s="5">
        <f>COUNTIF(Panel!$N$2:$N$400,B8)</f>
        <v/>
      </c>
      <c r="E8" s="5">
        <f>C8+D8</f>
        <v/>
      </c>
    </row>
    <row r="9">
      <c r="B9" s="5">
        <f>Lists!C6</f>
        <v/>
      </c>
      <c r="C9" s="5">
        <f>COUNTIF(App!$M$2:$M$400,B9)</f>
        <v/>
      </c>
      <c r="D9" s="5">
        <f>COUNTIF(Panel!$N$2:$N$400,B9)</f>
        <v/>
      </c>
      <c r="E9" s="5">
        <f>C9+D9</f>
        <v/>
      </c>
    </row>
    <row r="10">
      <c r="B10" s="5">
        <f>Lists!C7</f>
        <v/>
      </c>
      <c r="C10" s="5">
        <f>COUNTIF(App!$M$2:$M$400,B10)</f>
        <v/>
      </c>
      <c r="D10" s="5">
        <f>COUNTIF(Panel!$N$2:$N$400,B10)</f>
        <v/>
      </c>
      <c r="E10" s="5">
        <f>C10+D10</f>
        <v/>
      </c>
    </row>
    <row r="11">
      <c r="B11" s="5">
        <f>Lists!C8</f>
        <v/>
      </c>
      <c r="C11" s="5">
        <f>COUNTIF(App!$M$2:$M$400,B11)</f>
        <v/>
      </c>
      <c r="D11" s="5">
        <f>COUNTIF(Panel!$N$2:$N$400,B11)</f>
        <v/>
      </c>
      <c r="E11" s="5">
        <f>C11+D11</f>
        <v/>
      </c>
    </row>
    <row r="12">
      <c r="B12" s="5">
        <f>Lists!C9</f>
        <v/>
      </c>
      <c r="C12" s="5">
        <f>COUNTIF(App!$M$2:$M$400,B12)</f>
        <v/>
      </c>
      <c r="D12" s="5">
        <f>COUNTIF(Panel!$N$2:$N$400,B12)</f>
        <v/>
      </c>
      <c r="E12" s="5">
        <f>C12+D12</f>
        <v/>
      </c>
    </row>
    <row r="13">
      <c r="B13" s="5">
        <f>Lists!C10</f>
        <v/>
      </c>
      <c r="C13" s="5">
        <f>COUNTIF(App!$M$2:$M$400,B13)</f>
        <v/>
      </c>
      <c r="D13" s="5">
        <f>COUNTIF(Panel!$N$2:$N$400,B13)</f>
        <v/>
      </c>
      <c r="E13" s="5">
        <f>C13+D13</f>
        <v/>
      </c>
    </row>
    <row r="14">
      <c r="B14" s="5">
        <f>Lists!C11</f>
        <v/>
      </c>
      <c r="C14" s="5">
        <f>COUNTIF(App!$M$2:$M$400,B14)</f>
        <v/>
      </c>
      <c r="D14" s="5">
        <f>COUNTIF(Panel!$N$2:$N$400,B14)</f>
        <v/>
      </c>
      <c r="E14" s="5">
        <f>C14+D14</f>
        <v/>
      </c>
    </row>
    <row r="15">
      <c r="B15" s="6" t="inlineStr">
        <is>
          <t>All rows</t>
        </is>
      </c>
      <c r="C15" s="6">
        <f>SUM(C5:C14)</f>
        <v/>
      </c>
      <c r="D15" s="6">
        <f>SUM(D5:D14)</f>
        <v/>
      </c>
      <c r="E15" s="6">
        <f>SUM(E5:E14)</f>
        <v/>
      </c>
    </row>
    <row r="17">
      <c r="B17" s="7" t="inlineStr">
        <is>
          <t>Open items by severity</t>
        </is>
      </c>
    </row>
    <row r="18">
      <c r="B18" s="4" t="inlineStr">
        <is>
          <t>Severity</t>
        </is>
      </c>
      <c r="C18" s="4" t="inlineStr">
        <is>
          <t>App</t>
        </is>
      </c>
      <c r="D18" s="4" t="inlineStr">
        <is>
          <t>Panel</t>
        </is>
      </c>
      <c r="E18" s="4" t="inlineStr">
        <is>
          <t>Total</t>
        </is>
      </c>
    </row>
    <row r="19">
      <c r="B19" s="5">
        <f>Lists!B2</f>
        <v/>
      </c>
      <c r="C19" s="5">
        <f>COUNTIFS(App!$G$2:$G$400,$B19,App!$M$2:$M$400,"New")+COUNTIFS(App!$G$2:$G$400,$B19,App!$M$2:$M$400,"Confirmed")+COUNTIFS(App!$G$2:$G$400,$B19,App!$M$2:$M$400,"In progress")+COUNTIFS(App!$G$2:$G$400,$B19,App!$M$2:$M$400,"Needs decision")+COUNTIFS(App!$G$2:$G$400,$B19,App!$M$2:$M$400,"Can't reproduce")</f>
        <v/>
      </c>
      <c r="D19" s="5">
        <f>COUNTIFS(Panel!$G$2:$G$400,$B19,Panel!$N$2:$N$400,"New")+COUNTIFS(Panel!$G$2:$G$400,$B19,Panel!$N$2:$N$400,"Confirmed")+COUNTIFS(Panel!$G$2:$G$400,$B19,Panel!$N$2:$N$400,"In progress")+COUNTIFS(Panel!$G$2:$G$400,$B19,Panel!$N$2:$N$400,"Needs decision")+COUNTIFS(Panel!$G$2:$G$400,$B19,Panel!$N$2:$N$400,"Can't reproduce")</f>
        <v/>
      </c>
      <c r="E19" s="5">
        <f>C19+D19</f>
        <v/>
      </c>
    </row>
    <row r="20">
      <c r="B20" s="5">
        <f>Lists!B3</f>
        <v/>
      </c>
      <c r="C20" s="5">
        <f>COUNTIFS(App!$G$2:$G$400,$B20,App!$M$2:$M$400,"New")+COUNTIFS(App!$G$2:$G$400,$B20,App!$M$2:$M$400,"Confirmed")+COUNTIFS(App!$G$2:$G$400,$B20,App!$M$2:$M$400,"In progress")+COUNTIFS(App!$G$2:$G$400,$B20,App!$M$2:$M$400,"Needs decision")+COUNTIFS(App!$G$2:$G$400,$B20,App!$M$2:$M$400,"Can't reproduce")</f>
        <v/>
      </c>
      <c r="D20" s="5">
        <f>COUNTIFS(Panel!$G$2:$G$400,$B20,Panel!$N$2:$N$400,"New")+COUNTIFS(Panel!$G$2:$G$400,$B20,Panel!$N$2:$N$400,"Confirmed")+COUNTIFS(Panel!$G$2:$G$400,$B20,Panel!$N$2:$N$400,"In progress")+COUNTIFS(Panel!$G$2:$G$400,$B20,Panel!$N$2:$N$400,"Needs decision")+COUNTIFS(Panel!$G$2:$G$400,$B20,Panel!$N$2:$N$400,"Can't reproduce")</f>
        <v/>
      </c>
      <c r="E20" s="5">
        <f>C20+D20</f>
        <v/>
      </c>
    </row>
    <row r="21">
      <c r="B21" s="5">
        <f>Lists!B4</f>
        <v/>
      </c>
      <c r="C21" s="5">
        <f>COUNTIFS(App!$G$2:$G$400,$B21,App!$M$2:$M$400,"New")+COUNTIFS(App!$G$2:$G$400,$B21,App!$M$2:$M$400,"Confirmed")+COUNTIFS(App!$G$2:$G$400,$B21,App!$M$2:$M$400,"In progress")+COUNTIFS(App!$G$2:$G$400,$B21,App!$M$2:$M$400,"Needs decision")+COUNTIFS(App!$G$2:$G$400,$B21,App!$M$2:$M$400,"Can't reproduce")</f>
        <v/>
      </c>
      <c r="D21" s="5">
        <f>COUNTIFS(Panel!$G$2:$G$400,$B21,Panel!$N$2:$N$400,"New")+COUNTIFS(Panel!$G$2:$G$400,$B21,Panel!$N$2:$N$400,"Confirmed")+COUNTIFS(Panel!$G$2:$G$400,$B21,Panel!$N$2:$N$400,"In progress")+COUNTIFS(Panel!$G$2:$G$400,$B21,Panel!$N$2:$N$400,"Needs decision")+COUNTIFS(Panel!$G$2:$G$400,$B21,Panel!$N$2:$N$400,"Can't reproduce")</f>
        <v/>
      </c>
      <c r="E21" s="5">
        <f>C21+D21</f>
        <v/>
      </c>
    </row>
    <row r="22">
      <c r="B22" s="5">
        <f>Lists!B5</f>
        <v/>
      </c>
      <c r="C22" s="5">
        <f>COUNTIFS(App!$G$2:$G$400,$B22,App!$M$2:$M$400,"New")+COUNTIFS(App!$G$2:$G$400,$B22,App!$M$2:$M$400,"Confirmed")+COUNTIFS(App!$G$2:$G$400,$B22,App!$M$2:$M$400,"In progress")+COUNTIFS(App!$G$2:$G$400,$B22,App!$M$2:$M$400,"Needs decision")+COUNTIFS(App!$G$2:$G$400,$B22,App!$M$2:$M$400,"Can't reproduce")</f>
        <v/>
      </c>
      <c r="D22" s="5">
        <f>COUNTIFS(Panel!$G$2:$G$400,$B22,Panel!$N$2:$N$400,"New")+COUNTIFS(Panel!$G$2:$G$400,$B22,Panel!$N$2:$N$400,"Confirmed")+COUNTIFS(Panel!$G$2:$G$400,$B22,Panel!$N$2:$N$400,"In progress")+COUNTIFS(Panel!$G$2:$G$400,$B22,Panel!$N$2:$N$400,"Needs decision")+COUNTIFS(Panel!$G$2:$G$400,$B22,Panel!$N$2:$N$400,"Can't reproduce")</f>
        <v/>
      </c>
      <c r="E22" s="5">
        <f>C22+D22</f>
        <v/>
      </c>
    </row>
    <row r="23">
      <c r="B23" s="6" t="inlineStr">
        <is>
          <t>Open items</t>
        </is>
      </c>
      <c r="C23" s="6">
        <f>SUM(C19:C22)</f>
        <v/>
      </c>
      <c r="D23" s="6">
        <f>SUM(D19:D22)</f>
        <v/>
      </c>
      <c r="E23" s="6">
        <f>SUM(E19:E22)</f>
        <v/>
      </c>
    </row>
    <row r="25">
      <c r="B25" s="8" t="inlineStr">
        <is>
          <t>Open = New, Confirmed, In progress, Needs decision, Can't reproduce.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5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12" customWidth="1" min="2" max="2"/>
    <col width="14" customWidth="1" min="3" max="3"/>
    <col width="14" customWidth="1" min="4" max="4"/>
    <col width="24" customWidth="1" min="5" max="5"/>
    <col width="13" customWidth="1" min="6" max="6"/>
    <col width="10" customWidth="1" min="7" max="7"/>
    <col width="62" customWidth="1" min="8" max="8"/>
    <col width="30" customWidth="1" min="9" max="9"/>
    <col width="32" customWidth="1" min="10" max="10"/>
    <col width="26" customWidth="1" min="11" max="11"/>
    <col width="22" customWidth="1" min="12" max="12"/>
    <col width="15" customWidth="1" min="13" max="13"/>
    <col width="13" customWidth="1" min="14" max="14"/>
    <col width="24" customWidth="1" min="15" max="15"/>
    <col width="18" customWidth="1" min="16" max="16"/>
    <col width="20" customWidth="1" min="17" max="17"/>
    <col width="44" customWidth="1" min="18" max="18"/>
  </cols>
  <sheetData>
    <row r="1" ht="34" customHeight="1">
      <c r="A1" s="9" t="inlineStr">
        <is>
          <t>Sr no</t>
        </is>
      </c>
      <c r="B1" s="9" t="inlineStr">
        <is>
          <t>Date reported</t>
        </is>
      </c>
      <c r="C1" s="9" t="inlineStr">
        <is>
          <t>Reported by</t>
        </is>
      </c>
      <c r="D1" s="9" t="inlineStr">
        <is>
          <t>Source</t>
        </is>
      </c>
      <c r="E1" s="9" t="inlineStr">
        <is>
          <t>Module / screen</t>
        </is>
      </c>
      <c r="F1" s="9" t="inlineStr">
        <is>
          <t>Type</t>
        </is>
      </c>
      <c r="G1" s="9" t="inlineStr">
        <is>
          <t>Severity</t>
        </is>
      </c>
      <c r="H1" s="9" t="inlineStr">
        <is>
          <t>Issue / Fix</t>
        </is>
      </c>
      <c r="I1" s="9" t="inlineStr">
        <is>
          <t>Steps to reproduce</t>
        </is>
      </c>
      <c r="J1" s="9" t="inlineStr">
        <is>
          <t>Expected vs actual</t>
        </is>
      </c>
      <c r="K1" s="9" t="inlineStr">
        <is>
          <t>Environment (device, OS, app version)</t>
        </is>
      </c>
      <c r="L1" s="9" t="inlineStr">
        <is>
          <t>Evidence (link)</t>
        </is>
      </c>
      <c r="M1" s="9" t="inlineStr">
        <is>
          <t>Status</t>
        </is>
      </c>
      <c r="N1" s="9" t="inlineStr">
        <is>
          <t>Assigned to</t>
        </is>
      </c>
      <c r="O1" s="9" t="inlineStr">
        <is>
          <t>Fixed in (version / commit)</t>
        </is>
      </c>
      <c r="P1" s="9" t="inlineStr">
        <is>
          <t>Fix needs</t>
        </is>
      </c>
      <c r="Q1" s="9" t="inlineStr">
        <is>
          <t>Verified by / date</t>
        </is>
      </c>
      <c r="R1" s="9" t="inlineStr">
        <is>
          <t>Notes / root cause</t>
        </is>
      </c>
    </row>
    <row r="2">
      <c r="A2" s="10" t="n">
        <v>1</v>
      </c>
      <c r="B2" s="10" t="inlineStr"/>
      <c r="C2" s="11" t="inlineStr">
        <is>
          <t>Google Play</t>
        </is>
      </c>
      <c r="D2" s="11" t="inlineStr">
        <is>
          <t>Play Console</t>
        </is>
      </c>
      <c r="E2" s="11" t="inlineStr">
        <is>
          <t>Permissions / avatar picker</t>
        </is>
      </c>
      <c r="F2" s="10" t="inlineStr">
        <is>
          <t>Policy</t>
        </is>
      </c>
      <c r="G2" s="10" t="inlineStr">
        <is>
          <t>High</t>
        </is>
      </c>
      <c r="H2" s="11" t="inlineStr">
        <is>
          <t>Play 'Photo and Video Permissions' policy. FIX: removed READ_MEDIA_* / READ_EXTERNAL_STORAGE; the avatar picker now uses Android's system Photo Picker; first-run prompt no longer asks for photos/storage/audio.</t>
        </is>
      </c>
      <c r="I2" s="11" t="inlineStr">
        <is>
          <t>Play Console &gt; Policy status</t>
        </is>
      </c>
      <c r="J2" s="11" t="inlineStr">
        <is>
          <t>Expected: no media permissions declared. Actual: policy issue raised.</t>
        </is>
      </c>
      <c r="K2" s="11" t="inlineStr">
        <is>
          <t>Android, Play build</t>
        </is>
      </c>
      <c r="L2" s="11" t="inlineStr"/>
      <c r="M2" s="11" t="inlineStr">
        <is>
          <t>Released</t>
        </is>
      </c>
      <c r="N2" s="11" t="inlineStr"/>
      <c r="O2" s="11" t="inlineStr">
        <is>
          <t>Committed (Oct 2026 batch) | Released: Play 1.0.0+8 (published to everyone 2026-10-13; commit is in tag play-8)</t>
        </is>
      </c>
      <c r="P2" s="11" t="inlineStr">
        <is>
          <t>App build</t>
        </is>
      </c>
      <c r="Q2" s="11" t="inlineStr"/>
      <c r="R2" s="11" t="inlineStr">
        <is>
          <t>Needs a Play release and re-submission to clear the policy issue. | Status set to Released on 2026-10-14 from git: this commit is in the source of Play 1.0.0+8. Not yet verified by a person.</t>
        </is>
      </c>
    </row>
    <row r="3">
      <c r="A3" s="10" t="n">
        <v>2</v>
      </c>
      <c r="B3" s="10" t="inlineStr"/>
      <c r="C3" s="11" t="inlineStr">
        <is>
          <t>Owner</t>
        </is>
      </c>
      <c r="D3" s="11" t="inlineStr">
        <is>
          <t>Owner</t>
        </is>
      </c>
      <c r="E3" s="11" t="inlineStr">
        <is>
          <t>Live room (host and viewer)</t>
        </is>
      </c>
      <c r="F3" s="10" t="inlineStr">
        <is>
          <t>Bug</t>
        </is>
      </c>
      <c r="G3" s="10" t="inlineStr">
        <is>
          <t>Medium</t>
        </is>
      </c>
      <c r="H3" s="11" t="inlineStr">
        <is>
          <t>Keyboard reopens by itself after using any live option. FIX: unfocus when a route/popup opens over the live; live screens lift manually instead of resizing.</t>
        </is>
      </c>
      <c r="I3" s="11" t="inlineStr">
        <is>
          <t>1. Open chat field in a live. 2. Open any option/sheet. 3. Close it.</t>
        </is>
      </c>
      <c r="J3" s="11" t="inlineStr">
        <is>
          <t>Expected: keyboard stays closed. Actual: keyboard reopens.</t>
        </is>
      </c>
      <c r="K3" s="11" t="inlineStr">
        <is>
          <t>Android APK</t>
        </is>
      </c>
      <c r="L3" s="11" t="inlineStr"/>
      <c r="M3" s="11" t="inlineStr">
        <is>
          <t>Released</t>
        </is>
      </c>
      <c r="N3" s="11" t="inlineStr"/>
      <c r="O3" s="11" t="inlineStr">
        <is>
          <t>ffb3369 | Released: Play 1.0.0+8 (published to everyone 2026-10-13; commit is in tag play-8)</t>
        </is>
      </c>
      <c r="P3" s="11" t="inlineStr">
        <is>
          <t>App build</t>
        </is>
      </c>
      <c r="Q3" s="11" t="inlineStr"/>
      <c r="R3" s="11" t="inlineStr">
        <is>
          <t>Test: test/keyboard_focus_test.dart. | Status set to Released on 2026-10-14 from git: this commit is in the source of Play 1.0.0+8. Not yet verified by a person. | The commit is also in tag play-live (the 1.0.0+7 build).</t>
        </is>
      </c>
    </row>
    <row r="4">
      <c r="A4" s="10" t="n">
        <v>3</v>
      </c>
      <c r="B4" s="10" t="inlineStr"/>
      <c r="C4" s="11" t="inlineStr">
        <is>
          <t>Owner</t>
        </is>
      </c>
      <c r="D4" s="11" t="inlineStr">
        <is>
          <t>Owner</t>
        </is>
      </c>
      <c r="E4" s="11" t="inlineStr">
        <is>
          <t>Live room (host)</t>
        </is>
      </c>
      <c r="F4" s="10" t="inlineStr">
        <is>
          <t>Bug</t>
        </is>
      </c>
      <c r="G4" s="10" t="inlineStr">
        <is>
          <t>High</t>
        </is>
      </c>
      <c r="H4" s="11" t="inlineStr">
        <is>
          <t>Host app crashed in a live. Cause NOT identified (no logs). Mitigated the keyboard/platform-view resize; music file picker is another suspect.</t>
        </is>
      </c>
      <c r="I4" s="11" t="inlineStr">
        <is>
          <t>Not reproduced</t>
        </is>
      </c>
      <c r="J4" s="11" t="inlineStr">
        <is>
          <t>Expected: no crash. Actual: crash.</t>
        </is>
      </c>
      <c r="K4" s="11" t="inlineStr">
        <is>
          <t>Android</t>
        </is>
      </c>
      <c r="L4" s="11" t="inlineStr"/>
      <c r="M4" s="11" t="inlineStr">
        <is>
          <t>Can't reproduce</t>
        </is>
      </c>
      <c r="N4" s="11" t="inlineStr"/>
      <c r="O4" s="11" t="inlineStr"/>
      <c r="P4" s="11" t="inlineStr">
        <is>
          <t>App build</t>
        </is>
      </c>
      <c r="Q4" s="11" t="inlineStr"/>
      <c r="R4" s="11" t="inlineStr">
        <is>
          <t>Needs crash logs: add Crashlytics; check Play Console &gt; Android vitals; `adb logcat -b crash`.</t>
        </is>
      </c>
    </row>
    <row r="5">
      <c r="A5" s="10" t="n">
        <v>4</v>
      </c>
      <c r="B5" s="10" t="inlineStr"/>
      <c r="C5" s="11" t="inlineStr">
        <is>
          <t>Play user</t>
        </is>
      </c>
      <c r="D5" s="11" t="inlineStr">
        <is>
          <t>Play user</t>
        </is>
      </c>
      <c r="E5" s="11" t="inlineStr">
        <is>
          <t>Audio room seats</t>
        </is>
      </c>
      <c r="F5" s="10" t="inlineStr">
        <is>
          <t>Bug</t>
        </is>
      </c>
      <c r="G5" s="10" t="inlineStr">
        <is>
          <t>High</t>
        </is>
      </c>
      <c r="H5" s="11" t="inlineStr">
        <is>
          <t>Seat still shows as used after leaving; host not visible; people joining/coming on seats not shown. ROOT CAUSE: old builds' filtered DELETE listeners never see seat removals; the stale-presence sweeper freed the host's seat when its heartbeat lapsed; Realtime does not replay missed events. FIX: server keeps the host seat while the stream heartbeat is fresh (migration 20261004190000, live in prod) + the app re-reads seats from the server every 10 s, on resume and on subscribe.</t>
        </is>
      </c>
      <c r="I5" s="11" t="inlineStr">
        <is>
          <t>1. Join audio room. 2. Take a seat. 3. Leave. 4. Look from another phone.</t>
        </is>
      </c>
      <c r="J5" s="11" t="inlineStr">
        <is>
          <t>Expected: seat freed, host visible. Actual: ghost / missing seats.</t>
        </is>
      </c>
      <c r="K5" s="11" t="inlineStr">
        <is>
          <t>Old Play build and new APK</t>
        </is>
      </c>
      <c r="L5" s="11" t="inlineStr"/>
      <c r="M5" s="11" t="inlineStr">
        <is>
          <t>Released</t>
        </is>
      </c>
      <c r="N5" s="11" t="inlineStr"/>
      <c r="O5" s="11" t="inlineStr">
        <is>
          <t>5850a64 (DB) + ee1aed0 (app) | Released: Play 1.0.0+8 (published to everyone 2026-10-13; commit is in tag play-8)</t>
        </is>
      </c>
      <c r="P5" s="11" t="inlineStr">
        <is>
          <t>App build</t>
        </is>
      </c>
      <c r="Q5" s="11" t="inlineStr"/>
      <c r="R5" s="11" t="inlineStr">
        <is>
          <t>Database part is live. App part ships in 1.0.0+8. | Status set to Released on 2026-10-14 from git: this commit is in the source of Play 1.0.0+8. Not yet verified by a person.</t>
        </is>
      </c>
    </row>
    <row r="6">
      <c r="A6" s="10" t="n">
        <v>5</v>
      </c>
      <c r="B6" s="10" t="inlineStr">
        <is>
          <t>2026-10-06</t>
        </is>
      </c>
      <c r="C6" s="11" t="inlineStr">
        <is>
          <t>Owner</t>
        </is>
      </c>
      <c r="D6" s="11" t="inlineStr">
        <is>
          <t>Owner</t>
        </is>
      </c>
      <c r="E6" s="11" t="inlineStr">
        <is>
          <t>Seat speaking indicator</t>
        </is>
      </c>
      <c r="F6" s="10" t="inlineStr">
        <is>
          <t>Bug</t>
        </is>
      </c>
      <c r="G6" s="10" t="inlineStr">
        <is>
          <t>Medium</t>
        </is>
      </c>
      <c r="H6" s="11" t="inlineStr">
        <is>
          <t>Only your own voice lights your seat; other people's never do. ROOT CAUSE: live_stream_seats.agora_uid / set_seat_agora_uid were 32-bit; about 47% of Agora uids exceed 2^31 (max seen 4,287,323,012), so the call failed silently. FIX: bigint (migration 20261004210000, live in prod) + the app matches uids unsigned.</t>
        </is>
      </c>
      <c r="I6" s="11" t="inlineStr">
        <is>
          <t>1. Two phones in an audio room. 2. One speaks.</t>
        </is>
      </c>
      <c r="J6" s="11" t="inlineStr">
        <is>
          <t>Expected: speaker's seat lights on both phones. Actual: only on own phone.</t>
        </is>
      </c>
      <c r="K6" s="11" t="inlineStr">
        <is>
          <t>Play + APK</t>
        </is>
      </c>
      <c r="L6" s="11" t="inlineStr"/>
      <c r="M6" s="11" t="inlineStr">
        <is>
          <t>Released</t>
        </is>
      </c>
      <c r="N6" s="11" t="inlineStr"/>
      <c r="O6" s="11" t="inlineStr">
        <is>
          <t>5850a64 (DB) + ee1aed0 (app) | Released: Play 1.0.0+8 (published to everyone 2026-10-13; commit is in tag play-8)</t>
        </is>
      </c>
      <c r="P6" s="11" t="inlineStr">
        <is>
          <t>App build</t>
        </is>
      </c>
      <c r="Q6" s="11" t="inlineStr">
        <is>
          <t>DB verified in prod 2026-10-06</t>
        </is>
      </c>
      <c r="R6" s="11" t="inlineStr">
        <is>
          <t>DB part is live for existing builds (users must re-sit or rejoin). Waves UI ships in +8. | Status set to Released on 2026-10-14 from git: this commit is in the source of Play 1.0.0+8. Not yet verified by a person.</t>
        </is>
      </c>
    </row>
    <row r="7">
      <c r="A7" s="10" t="n">
        <v>6</v>
      </c>
      <c r="B7" s="10" t="inlineStr">
        <is>
          <t>2026-10-06</t>
        </is>
      </c>
      <c r="C7" s="11" t="inlineStr">
        <is>
          <t>Owner</t>
        </is>
      </c>
      <c r="D7" s="11" t="inlineStr">
        <is>
          <t>Owner</t>
        </is>
      </c>
      <c r="E7" s="11" t="inlineStr">
        <is>
          <t>Speaking indicator (audio + video live)</t>
        </is>
      </c>
      <c r="F7" s="10" t="inlineStr">
        <is>
          <t>Improvement</t>
        </is>
      </c>
      <c r="G7" s="10" t="inlineStr">
        <is>
          <t>Medium</t>
        </is>
      </c>
      <c r="H7" s="11" t="inlineStr">
        <is>
          <t>Replace the green glow with a circular wave ring like the reference video, on audio-room seats, the seat strip in video lives, and the host's avatar in video lives.</t>
        </is>
      </c>
      <c r="I7" s="11" t="inlineStr">
        <is>
          <t>-</t>
        </is>
      </c>
      <c r="J7" s="11" t="inlineStr">
        <is>
          <t>Expected: wave ring around the speaker.</t>
        </is>
      </c>
      <c r="K7" s="11" t="inlineStr">
        <is>
          <t>App</t>
        </is>
      </c>
      <c r="L7" s="11" t="inlineStr">
        <is>
          <t>Reference: GREEN SCREEN spectrum.mp4</t>
        </is>
      </c>
      <c r="M7" s="11" t="inlineStr">
        <is>
          <t>Released</t>
        </is>
      </c>
      <c r="N7" s="11" t="inlineStr"/>
      <c r="O7" s="11" t="inlineStr">
        <is>
          <t>ee1aed0 | Released: Play 1.0.0+8 (published to everyone 2026-10-13; commit is in tag play-8)</t>
        </is>
      </c>
      <c r="P7" s="11" t="inlineStr">
        <is>
          <t>App build</t>
        </is>
      </c>
      <c r="Q7" s="11" t="inlineStr"/>
      <c r="R7" s="11" t="inlineStr">
        <is>
          <t>Shape is generated (Agora only reports loudness). Runs only while someone is heard. | Status set to Released on 2026-10-14 from git: this commit is in the source of Play 1.0.0+8. Not yet verified by a person.</t>
        </is>
      </c>
    </row>
    <row r="8">
      <c r="A8" s="10" t="n">
        <v>7</v>
      </c>
      <c r="B8" s="10" t="inlineStr">
        <is>
          <t>2026-10-06</t>
        </is>
      </c>
      <c r="C8" s="11" t="inlineStr">
        <is>
          <t>Owner</t>
        </is>
      </c>
      <c r="D8" s="11" t="inlineStr">
        <is>
          <t>Owner</t>
        </is>
      </c>
      <c r="E8" s="11" t="inlineStr">
        <is>
          <t>Live navigation</t>
        </is>
      </c>
      <c r="F8" s="10" t="inlineStr">
        <is>
          <t>Bug</t>
        </is>
      </c>
      <c r="G8" s="10" t="inlineStr">
        <is>
          <t>High</t>
        </is>
      </c>
      <c r="H8" s="11" t="inlineStr">
        <is>
          <t>Android gesture back takes the user out of the live instead of showing leave/end and the options. ROOT CAUSE: app targets Android 16 (targetSdk 36); Flutter did not claim the back gesture with only the home page under the live. FIX: LiveBackGuard.</t>
        </is>
      </c>
      <c r="I8" s="11" t="inlineStr">
        <is>
          <t>1. Join a live. 2. Swipe back.</t>
        </is>
      </c>
      <c r="J8" s="11" t="inlineStr">
        <is>
          <t>Expected: leave/end dialog. Actual: leaves the live.</t>
        </is>
      </c>
      <c r="K8" s="11" t="inlineStr">
        <is>
          <t>Android 16, gesture navigation</t>
        </is>
      </c>
      <c r="L8" s="11" t="inlineStr"/>
      <c r="M8" s="11" t="inlineStr">
        <is>
          <t>Released</t>
        </is>
      </c>
      <c r="N8" s="11" t="inlineStr"/>
      <c r="O8" s="11" t="inlineStr">
        <is>
          <t>ee1aed0 | Released: Play 1.0.0+8 (published to everyone 2026-10-13; commit is in tag play-8)</t>
        </is>
      </c>
      <c r="P8" s="11" t="inlineStr">
        <is>
          <t>App build</t>
        </is>
      </c>
      <c r="Q8" s="11" t="inlineStr"/>
      <c r="R8" s="11" t="inlineStr">
        <is>
          <t>Unit-tested only. Verify on a real Android 16 phone with gesture AND button navigation. | Status set to Released on 2026-10-14 from git: this commit is in the source of Play 1.0.0+8. Not yet verified by a person.</t>
        </is>
      </c>
    </row>
    <row r="9">
      <c r="A9" s="10" t="n">
        <v>8</v>
      </c>
      <c r="B9" s="10" t="inlineStr">
        <is>
          <t>2026-10-06</t>
        </is>
      </c>
      <c r="C9" s="11" t="inlineStr">
        <is>
          <t>Play user</t>
        </is>
      </c>
      <c r="D9" s="11" t="inlineStr">
        <is>
          <t>Play user</t>
        </is>
      </c>
      <c r="E9" s="11" t="inlineStr">
        <is>
          <t>Live rooms (performance)</t>
        </is>
      </c>
      <c r="F9" s="10" t="inlineStr">
        <is>
          <t>Bug</t>
        </is>
      </c>
      <c r="G9" s="10" t="inlineStr">
        <is>
          <t>High</t>
        </is>
      </c>
      <c r="H9" s="11" t="inlineStr">
        <is>
          <t>Phone heating. Mitigations: avatar frames show a still when smaller than 48 px; Home reloads once per burst of Realtime events; host clock no longer rebuilds the whole screen each second; host video 24 fps; sigma-70 blur removed from login/onboarding background.</t>
        </is>
      </c>
      <c r="I9" s="11" t="inlineStr">
        <is>
          <t>Use live rooms for several minutes</t>
        </is>
      </c>
      <c r="J9" s="11" t="inlineStr">
        <is>
          <t>Expected: normal temperature.</t>
        </is>
      </c>
      <c r="K9" s="11" t="inlineStr">
        <is>
          <t>Redmi Note 15 5G, HyperOS 3, Android 16</t>
        </is>
      </c>
      <c r="L9" s="11" t="inlineStr"/>
      <c r="M9" s="11" t="inlineStr">
        <is>
          <t>Released</t>
        </is>
      </c>
      <c r="N9" s="11" t="inlineStr"/>
      <c r="O9" s="11" t="inlineStr">
        <is>
          <t>ee1aed0 | Released: Play 1.0.0+8 (published to everyone 2026-10-13; commit is in tag play-8)</t>
        </is>
      </c>
      <c r="P9" s="11" t="inlineStr">
        <is>
          <t>App build</t>
        </is>
      </c>
      <c r="Q9" s="11" t="inlineStr"/>
      <c r="R9" s="11" t="inlineStr">
        <is>
          <t>Not measured on a device. Next ideas: thermal-adaptive quality; lower video resolution (see the Agora cost item). | Status set to Released on 2026-10-14 from git: this commit is in the source of Play 1.0.0+8. Not yet verified by a person.</t>
        </is>
      </c>
    </row>
    <row r="10">
      <c r="A10" s="10" t="n">
        <v>9</v>
      </c>
      <c r="B10" s="10" t="inlineStr">
        <is>
          <t>2026-10-04</t>
        </is>
      </c>
      <c r="C10" s="11" t="inlineStr">
        <is>
          <t>Play user</t>
        </is>
      </c>
      <c r="D10" s="11" t="inlineStr">
        <is>
          <t>Play user</t>
        </is>
      </c>
      <c r="E10" s="11" t="inlineStr">
        <is>
          <t>Live rooms (all)</t>
        </is>
      </c>
      <c r="F10" s="10" t="inlineStr">
        <is>
          <t>Bug</t>
        </is>
      </c>
      <c r="G10" s="10" t="inlineStr">
        <is>
          <t>Critical</t>
        </is>
      </c>
      <c r="H10" s="11" t="inlineStr">
        <is>
          <t>Slowness, rooms failing and 'crashes' for many users. ROOT CAUSE: the Agora free quota (10,000 min) was used up. FIX: topped up to 25,000 minutes.</t>
        </is>
      </c>
      <c r="I10" s="11" t="inlineStr">
        <is>
          <t>-</t>
        </is>
      </c>
      <c r="J10" s="11" t="inlineStr">
        <is>
          <t>Expected: rooms connect. Actual: joins/publishing refused.</t>
        </is>
      </c>
      <c r="K10" s="11" t="inlineStr">
        <is>
          <t>All</t>
        </is>
      </c>
      <c r="L10" s="11" t="inlineStr">
        <is>
          <t>Agora console screenshot</t>
        </is>
      </c>
      <c r="M10" s="11" t="inlineStr">
        <is>
          <t>Closed</t>
        </is>
      </c>
      <c r="N10" s="11" t="inlineStr"/>
      <c r="O10" s="11" t="inlineStr">
        <is>
          <t>Owner top-up</t>
        </is>
      </c>
      <c r="P10" s="11" t="inlineStr">
        <is>
          <t>Store / console action</t>
        </is>
      </c>
      <c r="Q10" s="11" t="inlineStr"/>
      <c r="R10" s="11" t="inlineStr">
        <is>
          <t>Follow up: HD video is about 2/3 of billed minutes. 25,000 may last only days; see the Agora cost item.</t>
        </is>
      </c>
    </row>
    <row r="11">
      <c r="A11" s="10" t="n">
        <v>10</v>
      </c>
      <c r="B11" s="10" t="inlineStr"/>
      <c r="C11" s="11" t="inlineStr">
        <is>
          <t>Investigation</t>
        </is>
      </c>
      <c r="D11" s="11" t="inlineStr">
        <is>
          <t>Investigation</t>
        </is>
      </c>
      <c r="E11" s="11" t="inlineStr">
        <is>
          <t>Live end time</t>
        </is>
      </c>
      <c r="F11" s="10" t="inlineStr">
        <is>
          <t>Bug</t>
        </is>
      </c>
      <c r="G11" s="10" t="inlineStr">
        <is>
          <t>Medium</t>
        </is>
      </c>
      <c r="H11" s="11" t="inlineStr">
        <is>
          <t>Host-pressed End stored ended_at as local time with no zone, so lives 'ended' hours off (5.5 h in the future in India) and live-hours reports were inflated. FIX: server stamps ended_at; 262 past rows repaired; the app now sends UTC.</t>
        </is>
      </c>
      <c r="I11" s="11" t="inlineStr">
        <is>
          <t>-</t>
        </is>
      </c>
      <c r="J11" s="11" t="inlineStr">
        <is>
          <t>Expected: ended_at = now. Actual: hours off.</t>
        </is>
      </c>
      <c r="K11" s="11" t="inlineStr">
        <is>
          <t>All</t>
        </is>
      </c>
      <c r="L11" s="11" t="inlineStr"/>
      <c r="M11" s="11" t="inlineStr">
        <is>
          <t>Released</t>
        </is>
      </c>
      <c r="N11" s="11" t="inlineStr"/>
      <c r="O11" s="11" t="inlineStr">
        <is>
          <t>5850a64 (DB) + ee1aed0 | Released: Play 1.0.0+8 (published to everyone 2026-10-13; commit is in tag play-8)</t>
        </is>
      </c>
      <c r="P11" s="11" t="inlineStr">
        <is>
          <t>Database migration</t>
        </is>
      </c>
      <c r="Q11" s="11" t="inlineStr">
        <is>
          <t>Verified in prod 2026-10-06 (0 bad rows)</t>
        </is>
      </c>
      <c r="R11" s="11" t="inlineStr">
        <is>
          <t>Migration 20261004200000 is live. | Status set to Released on 2026-10-14 from git: this commit is in the source of Play 1.0.0+8. Not yet verified by a person.</t>
        </is>
      </c>
    </row>
    <row r="12">
      <c r="A12" s="10" t="n">
        <v>11</v>
      </c>
      <c r="B12" s="10" t="inlineStr"/>
      <c r="C12" s="11" t="inlineStr">
        <is>
          <t>Investigation</t>
        </is>
      </c>
      <c r="D12" s="11" t="inlineStr">
        <is>
          <t>Investigation</t>
        </is>
      </c>
      <c r="E12" s="11" t="inlineStr">
        <is>
          <t>Wallet / purchases</t>
        </is>
      </c>
      <c r="F12" s="10" t="inlineStr">
        <is>
          <t>Security</t>
        </is>
      </c>
      <c r="G12" s="10" t="inlineStr">
        <is>
          <t>Critical</t>
        </is>
      </c>
      <c r="H12" s="11" t="inlineStr">
        <is>
          <t>dev_purchase_coins (an alpha test RPC) let ANY signed-in user mint coins. Never used (0 ledger rows). FIX: execute revoked.</t>
        </is>
      </c>
      <c r="I12" s="11" t="inlineStr">
        <is>
          <t>-</t>
        </is>
      </c>
      <c r="J12" s="11" t="inlineStr">
        <is>
          <t>Expected: no free coins. Actual: callable.</t>
        </is>
      </c>
      <c r="K12" s="11" t="inlineStr">
        <is>
          <t>Backend</t>
        </is>
      </c>
      <c r="L12" s="11" t="inlineStr"/>
      <c r="M12" s="11" t="inlineStr">
        <is>
          <t>Released</t>
        </is>
      </c>
      <c r="N12" s="11" t="inlineStr"/>
      <c r="O12" s="11" t="inlineStr">
        <is>
          <t>5850a64 | Released: Play 1.0.0+8 (published to everyone 2026-10-13; commit is in tag play-8)</t>
        </is>
      </c>
      <c r="P12" s="11" t="inlineStr">
        <is>
          <t>Database migration</t>
        </is>
      </c>
      <c r="Q12" s="11" t="inlineStr">
        <is>
          <t>Verified in prod 2026-10-06</t>
        </is>
      </c>
      <c r="R12" s="11" t="inlineStr">
        <is>
          <t>Kept closed on purpose when the rollback was discussed. | Status set to Released on 2026-10-14 from git: this commit is in the source of Play 1.0.0+8. Not yet verified by a person.</t>
        </is>
      </c>
    </row>
    <row r="13">
      <c r="A13" s="10" t="n">
        <v>12</v>
      </c>
      <c r="B13" s="10" t="inlineStr">
        <is>
          <t>2026-10-06</t>
        </is>
      </c>
      <c r="C13" s="11" t="inlineStr">
        <is>
          <t>Play user</t>
        </is>
      </c>
      <c r="D13" s="11" t="inlineStr">
        <is>
          <t>Play user</t>
        </is>
      </c>
      <c r="E13" s="11" t="inlineStr">
        <is>
          <t>Login (Google)</t>
        </is>
      </c>
      <c r="F13" s="10" t="inlineStr">
        <is>
          <t>Bug</t>
        </is>
      </c>
      <c r="G13" s="10" t="inlineStr">
        <is>
          <t>High</t>
        </is>
      </c>
      <c r="H13" s="11" t="inlineStr">
        <is>
          <t>Error 'PlatformException(channel-error, ... google_sign_in_android.GoogleSignInApi.signIn)' on some phones. FIX: fall back to the browser Google sign-in; readable, translated message instead of the raw error.</t>
        </is>
      </c>
      <c r="I13" s="11" t="inlineStr">
        <is>
          <t>Tap the Google button</t>
        </is>
      </c>
      <c r="J13" s="11" t="inlineStr">
        <is>
          <t>Expected: Google sign-in. Actual: raw error.</t>
        </is>
      </c>
      <c r="K13" s="11" t="inlineStr">
        <is>
          <t>Play build; phone model unknown</t>
        </is>
      </c>
      <c r="L13" s="11" t="inlineStr">
        <is>
          <t>Screenshot</t>
        </is>
      </c>
      <c r="M13" s="11" t="inlineStr">
        <is>
          <t>Released</t>
        </is>
      </c>
      <c r="N13" s="11" t="inlineStr"/>
      <c r="O13" s="11" t="inlineStr">
        <is>
          <t>e5aa4f6 | Released: Play 1.0.0+8 (published to everyone 2026-10-13; commit is in tag play-8)</t>
        </is>
      </c>
      <c r="P13" s="11" t="inlineStr">
        <is>
          <t>App build</t>
        </is>
      </c>
      <c r="Q13" s="11" t="inlineStr"/>
      <c r="R13" s="11" t="inlineStr">
        <is>
          <t>Real cause on that phone unknown (Play Services?). Email, phone and username login are unaffected. Ask the reporter for model + Android version. | Status set to Released on 2026-10-14 from git: this commit is in the source of Play 1.0.0+8. Not yet verified by a person.</t>
        </is>
      </c>
    </row>
    <row r="14">
      <c r="A14" s="10" t="n">
        <v>13</v>
      </c>
      <c r="B14" s="10" t="inlineStr"/>
      <c r="C14" s="11" t="inlineStr">
        <is>
          <t>App Review</t>
        </is>
      </c>
      <c r="D14" s="11" t="inlineStr">
        <is>
          <t>App Review</t>
        </is>
      </c>
      <c r="E14" s="11" t="inlineStr">
        <is>
          <t>Chat / Rankings</t>
        </is>
      </c>
      <c r="F14" s="10" t="inlineStr">
        <is>
          <t>Bug</t>
        </is>
      </c>
      <c r="G14" s="10" t="inlineStr">
        <is>
          <t>High</t>
        </is>
      </c>
      <c r="H14" s="11" t="inlineStr">
        <is>
          <t>Apple 2.1(a): chat top-right '...' did nothing; the '+' and emoji icons in the chat bar and the Rankings info icon were dead. FIX: '...' opens View profile / Block / Report; dead icons removed.</t>
        </is>
      </c>
      <c r="I14" s="11" t="inlineStr">
        <is>
          <t>Open any chat</t>
        </is>
      </c>
      <c r="J14" s="11" t="inlineStr">
        <is>
          <t>Expected: working controls.</t>
        </is>
      </c>
      <c r="K14" s="11" t="inlineStr">
        <is>
          <t>iPad Air 11 (M3), iPadOS 27</t>
        </is>
      </c>
      <c r="L14" s="11" t="inlineStr">
        <is>
          <t>App Review message</t>
        </is>
      </c>
      <c r="M14" s="11" t="inlineStr">
        <is>
          <t>Released</t>
        </is>
      </c>
      <c r="N14" s="11" t="inlineStr"/>
      <c r="O14" s="11" t="inlineStr">
        <is>
          <t>ee1aed0 | Released: Play 1.0.0+8 (published to everyone 2026-10-13; commit is in tag play-8)</t>
        </is>
      </c>
      <c r="P14" s="11" t="inlineStr">
        <is>
          <t>App build</t>
        </is>
      </c>
      <c r="Q14" s="11" t="inlineStr"/>
      <c r="R14" s="11" t="inlineStr">
        <is>
          <t>Also fixed: the Report sheet overflowed on short screens. | Status set to Released on 2026-10-14 from git: this commit is in the source of Play 1.0.0+8. Not yet verified by a person.</t>
        </is>
      </c>
    </row>
    <row r="15">
      <c r="A15" s="10" t="n">
        <v>14</v>
      </c>
      <c r="B15" s="10" t="inlineStr"/>
      <c r="C15" s="11" t="inlineStr">
        <is>
          <t>App Review</t>
        </is>
      </c>
      <c r="D15" s="11" t="inlineStr">
        <is>
          <t>App Review</t>
        </is>
      </c>
      <c r="E15" s="11" t="inlineStr">
        <is>
          <t>Live (iPad)</t>
        </is>
      </c>
      <c r="F15" s="10" t="inlineStr">
        <is>
          <t>Bug</t>
        </is>
      </c>
      <c r="G15" s="10" t="inlineStr">
        <is>
          <t>High</t>
        </is>
      </c>
      <c r="H15" s="11" t="inlineStr">
        <is>
          <t>Apple 2.1(a): 'live video did not load' and 'most features in the live unresponsive' on iPad.</t>
        </is>
      </c>
      <c r="I15" s="11" t="inlineStr">
        <is>
          <t>Open a live on iPad</t>
        </is>
      </c>
      <c r="J15" s="11" t="inlineStr">
        <is>
          <t>Expected: video plays.</t>
        </is>
      </c>
      <c r="K15" s="11" t="inlineStr">
        <is>
          <t>iPad Air 11 (M3), iPadOS 27</t>
        </is>
      </c>
      <c r="L15" s="11" t="inlineStr"/>
      <c r="M15" s="11" t="inlineStr">
        <is>
          <t>Can't reproduce</t>
        </is>
      </c>
      <c r="N15" s="11" t="inlineStr"/>
      <c r="O15" s="11" t="inlineStr"/>
      <c r="P15" s="11" t="inlineStr">
        <is>
          <t>Decision</t>
        </is>
      </c>
      <c r="Q15" s="11" t="inlineStr"/>
      <c r="R15" s="11" t="inlineStr">
        <is>
          <t>Probably no host was live during review. Plan: a host live during review + demo login in Review Notes; test on an iPad.</t>
        </is>
      </c>
    </row>
    <row r="16">
      <c r="A16" s="10" t="n">
        <v>15</v>
      </c>
      <c r="B16" s="10" t="inlineStr"/>
      <c r="C16" s="11" t="inlineStr">
        <is>
          <t>Owner</t>
        </is>
      </c>
      <c r="D16" s="11" t="inlineStr">
        <is>
          <t>Owner</t>
        </is>
      </c>
      <c r="E16" s="11" t="inlineStr">
        <is>
          <t>Profile</t>
        </is>
      </c>
      <c r="F16" s="10" t="inlineStr">
        <is>
          <t>Bug</t>
        </is>
      </c>
      <c r="G16" s="10" t="inlineStr">
        <is>
          <t>Medium</t>
        </is>
      </c>
      <c r="H16" s="11" t="inlineStr">
        <is>
          <t>Language tile said 'coming soon'. FIX: opens the language picker (9 languages).</t>
        </is>
      </c>
      <c r="I16" s="11" t="inlineStr">
        <is>
          <t>Profile &gt; Language</t>
        </is>
      </c>
      <c r="J16" s="11" t="inlineStr"/>
      <c r="K16" s="11" t="inlineStr">
        <is>
          <t>APK</t>
        </is>
      </c>
      <c r="L16" s="11" t="inlineStr"/>
      <c r="M16" s="11" t="inlineStr">
        <is>
          <t>Released</t>
        </is>
      </c>
      <c r="N16" s="11" t="inlineStr"/>
      <c r="O16" s="11" t="inlineStr">
        <is>
          <t>Oct 4 batch | Released: Play 1.0.0+8 (published to everyone 2026-10-13; commit is in tag play-8)</t>
        </is>
      </c>
      <c r="P16" s="11" t="inlineStr">
        <is>
          <t>App build</t>
        </is>
      </c>
      <c r="Q16" s="11" t="inlineStr"/>
      <c r="R16" s="11" t="inlineStr">
        <is>
          <t>Status set to Released on 2026-10-14 from git: this commit is in the source of Play 1.0.0+8. Not yet verified by a person.</t>
        </is>
      </c>
    </row>
    <row r="17">
      <c r="A17" s="10" t="n">
        <v>16</v>
      </c>
      <c r="B17" s="10" t="inlineStr"/>
      <c r="C17" s="11" t="inlineStr">
        <is>
          <t>Owner</t>
        </is>
      </c>
      <c r="D17" s="11" t="inlineStr">
        <is>
          <t>Owner</t>
        </is>
      </c>
      <c r="E17" s="11" t="inlineStr">
        <is>
          <t>Profile</t>
        </is>
      </c>
      <c r="F17" s="10" t="inlineStr">
        <is>
          <t>Bug</t>
        </is>
      </c>
      <c r="G17" s="10" t="inlineStr">
        <is>
          <t>Low</t>
        </is>
      </c>
      <c r="H17" s="11" t="inlineStr">
        <is>
          <t>Profile menu grid had a gap. FIX: fixed row height.</t>
        </is>
      </c>
      <c r="I17" s="11" t="inlineStr">
        <is>
          <t>Profile screen</t>
        </is>
      </c>
      <c r="J17" s="11" t="inlineStr"/>
      <c r="K17" s="11" t="inlineStr">
        <is>
          <t>APK</t>
        </is>
      </c>
      <c r="L17" s="11" t="inlineStr"/>
      <c r="M17" s="11" t="inlineStr">
        <is>
          <t>Released</t>
        </is>
      </c>
      <c r="N17" s="11" t="inlineStr"/>
      <c r="O17" s="11" t="inlineStr">
        <is>
          <t>Oct 4 batch | Released: Play 1.0.0+8 (published to everyone 2026-10-13; commit is in tag play-8)</t>
        </is>
      </c>
      <c r="P17" s="11" t="inlineStr">
        <is>
          <t>App build</t>
        </is>
      </c>
      <c r="Q17" s="11" t="inlineStr"/>
      <c r="R17" s="11" t="inlineStr">
        <is>
          <t>Status set to Released on 2026-10-14 from git: this commit is in the source of Play 1.0.0+8. Not yet verified by a person.</t>
        </is>
      </c>
    </row>
    <row r="18">
      <c r="A18" s="10" t="n">
        <v>17</v>
      </c>
      <c r="B18" s="10" t="inlineStr"/>
      <c r="C18" s="11" t="inlineStr">
        <is>
          <t>Owner</t>
        </is>
      </c>
      <c r="D18" s="11" t="inlineStr">
        <is>
          <t>Owner</t>
        </is>
      </c>
      <c r="E18" s="11" t="inlineStr">
        <is>
          <t>Live chat</t>
        </is>
      </c>
      <c r="F18" s="10" t="inlineStr">
        <is>
          <t>Bug</t>
        </is>
      </c>
      <c r="G18" s="10" t="inlineStr">
        <is>
          <t>Low</t>
        </is>
      </c>
      <c r="H18" s="11" t="inlineStr">
        <is>
          <t>'Left' notice was not styled like 'joined'. FIX: same style.</t>
        </is>
      </c>
      <c r="I18" s="11" t="inlineStr">
        <is>
          <t>Join then leave a live</t>
        </is>
      </c>
      <c r="J18" s="11" t="inlineStr"/>
      <c r="K18" s="11" t="inlineStr">
        <is>
          <t>APK</t>
        </is>
      </c>
      <c r="L18" s="11" t="inlineStr"/>
      <c r="M18" s="11" t="inlineStr">
        <is>
          <t>Released</t>
        </is>
      </c>
      <c r="N18" s="11" t="inlineStr"/>
      <c r="O18" s="11" t="inlineStr">
        <is>
          <t>Oct 4 batch | Released: Play 1.0.0+8 (published to everyone 2026-10-13; commit is in tag play-8)</t>
        </is>
      </c>
      <c r="P18" s="11" t="inlineStr">
        <is>
          <t>App build</t>
        </is>
      </c>
      <c r="Q18" s="11" t="inlineStr"/>
      <c r="R18" s="11" t="inlineStr">
        <is>
          <t>Status set to Released on 2026-10-14 from git: this commit is in the source of Play 1.0.0+8. Not yet verified by a person.</t>
        </is>
      </c>
    </row>
    <row r="19">
      <c r="A19" s="10" t="n">
        <v>18</v>
      </c>
      <c r="B19" s="10" t="inlineStr"/>
      <c r="C19" s="11" t="inlineStr">
        <is>
          <t>Owner</t>
        </is>
      </c>
      <c r="D19" s="11" t="inlineStr">
        <is>
          <t>Owner</t>
        </is>
      </c>
      <c r="E19" s="11" t="inlineStr">
        <is>
          <t>Audio room (host music)</t>
        </is>
      </c>
      <c r="F19" s="10" t="inlineStr">
        <is>
          <t>Bug</t>
        </is>
      </c>
      <c r="G19" s="10" t="inlineStr">
        <is>
          <t>Medium</t>
        </is>
      </c>
      <c r="H19" s="11" t="inlineStr">
        <is>
          <t>Local mp3 player: host could not hear anything. Diagnostics added; cause not found.</t>
        </is>
      </c>
      <c r="I19" s="11" t="inlineStr">
        <is>
          <t>Audio room &gt; Music &gt; pick a file</t>
        </is>
      </c>
      <c r="J19" s="11" t="inlineStr">
        <is>
          <t>Expected: song plays into the room.</t>
        </is>
      </c>
      <c r="K19" s="11" t="inlineStr">
        <is>
          <t>APK</t>
        </is>
      </c>
      <c r="L19" s="11" t="inlineStr"/>
      <c r="M19" s="11" t="inlineStr">
        <is>
          <t>Confirmed</t>
        </is>
      </c>
      <c r="N19" s="11" t="inlineStr"/>
      <c r="O19" s="11" t="inlineStr"/>
      <c r="P19" s="11" t="inlineStr">
        <is>
          <t>App build</t>
        </is>
      </c>
      <c r="Q19" s="11" t="inlineStr"/>
      <c r="R19" s="11" t="inlineStr">
        <is>
          <t>Needs a device test with logs. Music is host-only and audio-room-only.</t>
        </is>
      </c>
    </row>
    <row r="20">
      <c r="A20" s="10" t="n">
        <v>19</v>
      </c>
      <c r="B20" s="10" t="inlineStr"/>
      <c r="C20" s="11" t="inlineStr">
        <is>
          <t>Owner</t>
        </is>
      </c>
      <c r="D20" s="11" t="inlineStr">
        <is>
          <t>Owner</t>
        </is>
      </c>
      <c r="E20" s="11" t="inlineStr">
        <is>
          <t>Wallet / coin sellers</t>
        </is>
      </c>
      <c r="F20" s="10" t="inlineStr">
        <is>
          <t>Bug</t>
        </is>
      </c>
      <c r="G20" s="10" t="inlineStr">
        <is>
          <t>Low</t>
        </is>
      </c>
      <c r="H20" s="11" t="inlineStr">
        <is>
          <t>Coin seller list showed a shop icon, not the user's profile picture.</t>
        </is>
      </c>
      <c r="I20" s="11" t="inlineStr">
        <is>
          <t>Wallet &gt; Offline sellers</t>
        </is>
      </c>
      <c r="J20" s="11" t="inlineStr"/>
      <c r="K20" s="11" t="inlineStr">
        <is>
          <t>Older build on the phone</t>
        </is>
      </c>
      <c r="L20" s="11" t="inlineStr">
        <is>
          <t>Screenshot</t>
        </is>
      </c>
      <c r="M20" s="11" t="inlineStr">
        <is>
          <t>Closed</t>
        </is>
      </c>
      <c r="N20" s="11" t="inlineStr"/>
      <c r="O20" s="11" t="inlineStr"/>
      <c r="P20" s="11" t="inlineStr">
        <is>
          <t>None</t>
        </is>
      </c>
      <c r="Q20" s="11" t="inlineStr"/>
      <c r="R20" s="11" t="inlineStr">
        <is>
          <t>Backend returns the profile; the phone ran an older build.</t>
        </is>
      </c>
    </row>
    <row r="21">
      <c r="A21" s="10" t="n">
        <v>20</v>
      </c>
      <c r="B21" s="10" t="inlineStr">
        <is>
          <t>2026-10-05</t>
        </is>
      </c>
      <c r="C21" s="11" t="inlineStr">
        <is>
          <t>App Review</t>
        </is>
      </c>
      <c r="D21" s="11" t="inlineStr">
        <is>
          <t>App Review</t>
        </is>
      </c>
      <c r="E21" s="11" t="inlineStr">
        <is>
          <t>App Store Connect</t>
        </is>
      </c>
      <c r="F21" s="10" t="inlineStr">
        <is>
          <t>Policy</t>
        </is>
      </c>
      <c r="G21" s="10" t="inlineStr">
        <is>
          <t>High</t>
        </is>
      </c>
      <c r="H21" s="11" t="inlineStr">
        <is>
          <t>Apple 2.3.6: set Age Rating 'Messaging and Chat' = Yes and 'User-Generated Content' = Yes.</t>
        </is>
      </c>
      <c r="I21" s="11" t="inlineStr">
        <is>
          <t>App Information &gt; Age Rating</t>
        </is>
      </c>
      <c r="J21" s="11" t="inlineStr"/>
      <c r="K21" s="11" t="inlineStr">
        <is>
          <t>iOS</t>
        </is>
      </c>
      <c r="L21" s="11" t="inlineStr"/>
      <c r="M21" s="11" t="inlineStr">
        <is>
          <t>New</t>
        </is>
      </c>
      <c r="N21" s="11" t="inlineStr">
        <is>
          <t>Owner</t>
        </is>
      </c>
      <c r="O21" s="11" t="inlineStr"/>
      <c r="P21" s="11" t="inlineStr">
        <is>
          <t>Store / console action</t>
        </is>
      </c>
      <c r="Q21" s="11" t="inlineStr"/>
      <c r="R21" s="11" t="inlineStr">
        <is>
          <t>Owner action in App Store Connect.</t>
        </is>
      </c>
    </row>
    <row r="22">
      <c r="A22" s="10" t="n">
        <v>21</v>
      </c>
      <c r="B22" s="10" t="inlineStr">
        <is>
          <t>2026-10-05</t>
        </is>
      </c>
      <c r="C22" s="11" t="inlineStr">
        <is>
          <t>App Review</t>
        </is>
      </c>
      <c r="D22" s="11" t="inlineStr">
        <is>
          <t>App Review</t>
        </is>
      </c>
      <c r="E22" s="11" t="inlineStr">
        <is>
          <t>App Store Connect</t>
        </is>
      </c>
      <c r="F22" s="10" t="inlineStr">
        <is>
          <t>Policy</t>
        </is>
      </c>
      <c r="G22" s="10" t="inlineStr">
        <is>
          <t>High</t>
        </is>
      </c>
      <c r="H22" s="11" t="inlineStr">
        <is>
          <t>Apple 5.2.1: China internet cultural business licences requested. PLAN: remove China mainland from availability and reply that the app is not offered there.</t>
        </is>
      </c>
      <c r="I22" s="11" t="inlineStr">
        <is>
          <t>Pricing and Availability</t>
        </is>
      </c>
      <c r="J22" s="11" t="inlineStr"/>
      <c r="K22" s="11" t="inlineStr">
        <is>
          <t>iOS</t>
        </is>
      </c>
      <c r="L22" s="11" t="inlineStr"/>
      <c r="M22" s="11" t="inlineStr">
        <is>
          <t>New</t>
        </is>
      </c>
      <c r="N22" s="11" t="inlineStr">
        <is>
          <t>Owner</t>
        </is>
      </c>
      <c r="O22" s="11" t="inlineStr"/>
      <c r="P22" s="11" t="inlineStr">
        <is>
          <t>Store / console action</t>
        </is>
      </c>
      <c r="Q22" s="11" t="inlineStr"/>
      <c r="R22" s="11" t="inlineStr">
        <is>
          <t>Draft reply: scratchpad app-review-reply-draft.md</t>
        </is>
      </c>
    </row>
    <row r="23">
      <c r="A23" s="10" t="n">
        <v>22</v>
      </c>
      <c r="B23" s="10" t="inlineStr">
        <is>
          <t>2026-10-05</t>
        </is>
      </c>
      <c r="C23" s="11" t="inlineStr">
        <is>
          <t>App Review</t>
        </is>
      </c>
      <c r="D23" s="11" t="inlineStr">
        <is>
          <t>App Review</t>
        </is>
      </c>
      <c r="E23" s="11" t="inlineStr">
        <is>
          <t>App Store metadata</t>
        </is>
      </c>
      <c r="F23" s="10" t="inlineStr">
        <is>
          <t>Policy</t>
        </is>
      </c>
      <c r="G23" s="10" t="inlineStr">
        <is>
          <t>High</t>
        </is>
      </c>
      <c r="H23" s="11" t="inlineStr">
        <is>
          <t>Apple 4.1(a): metadata resembles another app. Found: the icon, logo and splash have a red rounded '&gt; LIVE' pill that resembles YouTube's mark. Name, subtitle, keywords, description and screenshots still need checking.</t>
        </is>
      </c>
      <c r="I23" s="11" t="inlineStr">
        <is>
          <t>-</t>
        </is>
      </c>
      <c r="J23" s="11" t="inlineStr"/>
      <c r="K23" s="11" t="inlineStr">
        <is>
          <t>iOS</t>
        </is>
      </c>
      <c r="L23" s="11" t="inlineStr"/>
      <c r="M23" s="11" t="inlineStr">
        <is>
          <t>Needs decision</t>
        </is>
      </c>
      <c r="N23" s="11" t="inlineStr">
        <is>
          <t>Owner</t>
        </is>
      </c>
      <c r="O23" s="11" t="inlineStr"/>
      <c r="P23" s="11" t="inlineStr">
        <is>
          <t>Store / console action</t>
        </is>
      </c>
      <c r="Q23" s="11" t="inlineStr"/>
      <c r="R23" s="11" t="inlineStr">
        <is>
          <t>Needs a cleaned icon file + the App Store Connect text.</t>
        </is>
      </c>
    </row>
    <row r="24">
      <c r="A24" s="10" t="n">
        <v>23</v>
      </c>
      <c r="B24" s="10" t="inlineStr">
        <is>
          <t>2026-10-05</t>
        </is>
      </c>
      <c r="C24" s="11" t="inlineStr">
        <is>
          <t>App Review</t>
        </is>
      </c>
      <c r="D24" s="11" t="inlineStr">
        <is>
          <t>App Review</t>
        </is>
      </c>
      <c r="E24" s="11" t="inlineStr">
        <is>
          <t>Coins / payments</t>
        </is>
      </c>
      <c r="F24" s="10" t="inlineStr">
        <is>
          <t>Policy</t>
        </is>
      </c>
      <c r="G24" s="10" t="inlineStr">
        <is>
          <t>Critical</t>
        </is>
      </c>
      <c r="H24" s="11" t="inlineStr">
        <is>
          <t>Apple 2.1(b) / 3.1.1: the app sells coins through 'Offline Coin Sellers' (cash/UPI over WhatsApp) and a Coin Reseller tool; Buy Coins is switched off. Needs a decision: (A) In-App Purchase on iOS + hide offline selling on iOS, (B) iOS with no way to get coins, (C) hold the iOS release.</t>
        </is>
      </c>
      <c r="I24" s="11" t="inlineStr">
        <is>
          <t>-</t>
        </is>
      </c>
      <c r="J24" s="11" t="inlineStr"/>
      <c r="K24" s="11" t="inlineStr">
        <is>
          <t>iOS</t>
        </is>
      </c>
      <c r="L24" s="11" t="inlineStr"/>
      <c r="M24" s="11" t="inlineStr">
        <is>
          <t>Needs decision</t>
        </is>
      </c>
      <c r="N24" s="11" t="inlineStr">
        <is>
          <t>Owner</t>
        </is>
      </c>
      <c r="O24" s="11" t="inlineStr"/>
      <c r="P24" s="11" t="inlineStr">
        <is>
          <t>Decision</t>
        </is>
      </c>
      <c r="Q24" s="11" t="inlineStr"/>
      <c r="R24" s="11" t="inlineStr"/>
    </row>
    <row r="25">
      <c r="A25" s="10" t="n">
        <v>24</v>
      </c>
      <c r="B25" s="10" t="inlineStr"/>
      <c r="C25" s="11" t="inlineStr">
        <is>
          <t>Investigation</t>
        </is>
      </c>
      <c r="D25" s="11" t="inlineStr">
        <is>
          <t>Investigation</t>
        </is>
      </c>
      <c r="E25" s="11" t="inlineStr">
        <is>
          <t>Profile / Live / Home</t>
        </is>
      </c>
      <c r="F25" s="10" t="inlineStr">
        <is>
          <t>Improvement</t>
        </is>
      </c>
      <c r="G25" s="10" t="inlineStr">
        <is>
          <t>Medium</t>
        </is>
      </c>
      <c r="H25" s="11" t="inlineStr">
        <is>
          <t>Visible 'coming soon' placeholders (VIP, Room Effects, Family, PK battles, Voice effects, Room skins, Seat invites, Games, Withdrawals) are a common App Review complaint. Proposal: hide them (at least on iOS).</t>
        </is>
      </c>
      <c r="I25" s="11" t="inlineStr">
        <is>
          <t>-</t>
        </is>
      </c>
      <c r="J25" s="11" t="inlineStr"/>
      <c r="K25" s="11" t="inlineStr">
        <is>
          <t>App</t>
        </is>
      </c>
      <c r="L25" s="11" t="inlineStr"/>
      <c r="M25" s="11" t="inlineStr">
        <is>
          <t>Needs decision</t>
        </is>
      </c>
      <c r="N25" s="11" t="inlineStr">
        <is>
          <t>Owner</t>
        </is>
      </c>
      <c r="O25" s="11" t="inlineStr"/>
      <c r="P25" s="11" t="inlineStr">
        <is>
          <t>Decision</t>
        </is>
      </c>
      <c r="Q25" s="11" t="inlineStr"/>
      <c r="R25" s="11" t="inlineStr"/>
    </row>
    <row r="26">
      <c r="A26" s="10" t="n">
        <v>25</v>
      </c>
      <c r="B26" s="10" t="inlineStr"/>
      <c r="C26" s="11" t="inlineStr">
        <is>
          <t>Investigation</t>
        </is>
      </c>
      <c r="D26" s="11" t="inlineStr">
        <is>
          <t>Investigation</t>
        </is>
      </c>
      <c r="E26" s="11" t="inlineStr">
        <is>
          <t>Login (Apple)</t>
        </is>
      </c>
      <c r="F26" s="10" t="inlineStr">
        <is>
          <t>Bug</t>
        </is>
      </c>
      <c r="G26" s="10" t="inlineStr">
        <is>
          <t>High</t>
        </is>
      </c>
      <c r="H26" s="11" t="inlineStr">
        <is>
          <t>Sign in with Apple was not configured when last checked (the button errors). A likely next App Review rejection.</t>
        </is>
      </c>
      <c r="I26" s="11" t="inlineStr">
        <is>
          <t>Tap Apple on the login screen</t>
        </is>
      </c>
      <c r="J26" s="11" t="inlineStr"/>
      <c r="K26" s="11" t="inlineStr">
        <is>
          <t>iOS</t>
        </is>
      </c>
      <c r="L26" s="11" t="inlineStr"/>
      <c r="M26" s="11" t="inlineStr">
        <is>
          <t>New</t>
        </is>
      </c>
      <c r="N26" s="11" t="inlineStr"/>
      <c r="O26" s="11" t="inlineStr"/>
      <c r="P26" s="11" t="inlineStr">
        <is>
          <t>Store / console action</t>
        </is>
      </c>
      <c r="Q26" s="11" t="inlineStr"/>
      <c r="R26" s="11" t="inlineStr">
        <is>
          <t>Verify the current state in Supabase Auth &gt; Providers and the Apple developer account.</t>
        </is>
      </c>
    </row>
    <row r="27">
      <c r="A27" s="10" t="n">
        <v>26</v>
      </c>
      <c r="B27" s="10" t="inlineStr">
        <is>
          <t>2026-10-04</t>
        </is>
      </c>
      <c r="C27" s="11" t="inlineStr">
        <is>
          <t>Investigation</t>
        </is>
      </c>
      <c r="D27" s="11" t="inlineStr">
        <is>
          <t>Investigation</t>
        </is>
      </c>
      <c r="E27" s="11" t="inlineStr">
        <is>
          <t>Agora video cost</t>
        </is>
      </c>
      <c r="F27" s="10" t="inlineStr">
        <is>
          <t>Improvement</t>
        </is>
      </c>
      <c r="G27" s="10" t="inlineStr">
        <is>
          <t>High</t>
        </is>
      </c>
      <c r="H27" s="11" t="inlineStr">
        <is>
          <t>HD portrait video (720x1280) is about 2/3 of billed minutes. Options: A) cheaper resolution, B) two-stream mode, C) leave as is. Also a heat factor.</t>
        </is>
      </c>
      <c r="I27" s="11" t="inlineStr">
        <is>
          <t>-</t>
        </is>
      </c>
      <c r="J27" s="11" t="inlineStr"/>
      <c r="K27" s="11" t="inlineStr">
        <is>
          <t>All</t>
        </is>
      </c>
      <c r="L27" s="11" t="inlineStr"/>
      <c r="M27" s="11" t="inlineStr">
        <is>
          <t>Needs decision</t>
        </is>
      </c>
      <c r="N27" s="11" t="inlineStr">
        <is>
          <t>Owner</t>
        </is>
      </c>
      <c r="O27" s="11" t="inlineStr"/>
      <c r="P27" s="11" t="inlineStr">
        <is>
          <t>Decision</t>
        </is>
      </c>
      <c r="Q27" s="11" t="inlineStr"/>
      <c r="R27" s="11" t="inlineStr">
        <is>
          <t>Not changed yet.</t>
        </is>
      </c>
    </row>
    <row r="28">
      <c r="A28" s="10" t="n">
        <v>27</v>
      </c>
      <c r="B28" s="10" t="inlineStr">
        <is>
          <t>2026-10-06</t>
        </is>
      </c>
      <c r="C28" s="11" t="inlineStr">
        <is>
          <t>Owner</t>
        </is>
      </c>
      <c r="D28" s="11" t="inlineStr">
        <is>
          <t>Owner</t>
        </is>
      </c>
      <c r="E28" s="11" t="inlineStr">
        <is>
          <t>Backend (Supabase)</t>
        </is>
      </c>
      <c r="F28" s="10" t="inlineStr">
        <is>
          <t>Build/Infra</t>
        </is>
      </c>
      <c r="G28" s="10" t="inlineStr">
        <is>
          <t>High</t>
        </is>
      </c>
      <c r="H28" s="11" t="inlineStr">
        <is>
          <t>Cached egress is over the free quota: 11.14 / 5 GB (223%). The app re-downloads gift/frame/skin media each launch and each room (no disk cache; video re-streams on every play). FIX (not built): on-device media cache. Or upgrade the plan.</t>
        </is>
      </c>
      <c r="I28" s="11" t="inlineStr">
        <is>
          <t>Supabase &gt; Usage</t>
        </is>
      </c>
      <c r="J28" s="11" t="inlineStr"/>
      <c r="K28" s="11" t="inlineStr">
        <is>
          <t>Backend</t>
        </is>
      </c>
      <c r="L28" s="11" t="inlineStr">
        <is>
          <t>Dashboard screenshot</t>
        </is>
      </c>
      <c r="M28" s="11" t="inlineStr">
        <is>
          <t>Confirmed</t>
        </is>
      </c>
      <c r="N28" s="11" t="inlineStr"/>
      <c r="O28" s="11" t="inlineStr"/>
      <c r="P28" s="11" t="inlineStr">
        <is>
          <t>App build</t>
        </is>
      </c>
      <c r="Q28" s="11" t="inlineStr"/>
      <c r="R28" s="11" t="inlineStr">
        <is>
          <t>Flushing does not reduce the counter; it resets at the next billing cycle.</t>
        </is>
      </c>
    </row>
    <row r="29">
      <c r="A29" s="10" t="n">
        <v>28</v>
      </c>
      <c r="B29" s="10" t="inlineStr">
        <is>
          <t>2026-10-05</t>
        </is>
      </c>
      <c r="C29" s="11" t="inlineStr">
        <is>
          <t>Play user</t>
        </is>
      </c>
      <c r="D29" s="11" t="inlineStr">
        <is>
          <t>Play user</t>
        </is>
      </c>
      <c r="E29" s="11" t="inlineStr">
        <is>
          <t>Backend (Supabase)</t>
        </is>
      </c>
      <c r="F29" s="10" t="inlineStr">
        <is>
          <t>Bug</t>
        </is>
      </c>
      <c r="G29" s="10" t="inlineStr">
        <is>
          <t>Critical</t>
        </is>
      </c>
      <c r="H29" s="11" t="inlineStr">
        <is>
          <t>Production database stopped answering from about 19:33 to 19:54 UTC (every service returned 504 / DatabaseTimeout). Restarting the project fixed it. Cause NOT identified.</t>
        </is>
      </c>
      <c r="I29" s="11" t="inlineStr">
        <is>
          <t>-</t>
        </is>
      </c>
      <c r="J29" s="11" t="inlineStr"/>
      <c r="K29" s="11" t="inlineStr">
        <is>
          <t>Backend</t>
        </is>
      </c>
      <c r="L29" s="11" t="inlineStr"/>
      <c r="M29" s="11" t="inlineStr">
        <is>
          <t>Closed</t>
        </is>
      </c>
      <c r="N29" s="11" t="inlineStr">
        <is>
          <t>Owner</t>
        </is>
      </c>
      <c r="O29" s="11" t="inlineStr">
        <is>
          <t>Project restart</t>
        </is>
      </c>
      <c r="P29" s="11" t="inlineStr">
        <is>
          <t>Store / console action</t>
        </is>
      </c>
      <c r="Q29" s="11" t="inlineStr">
        <is>
          <t>Owner confirmed all well</t>
        </is>
      </c>
      <c r="R29" s="11" t="inlineStr">
        <is>
          <t>Check Logs &gt; Postgres around 19:30 UTC for out-of-memory or too-many-connections lines.</t>
        </is>
      </c>
    </row>
    <row r="30">
      <c r="A30" s="10" t="n">
        <v>29</v>
      </c>
      <c r="B30" s="10" t="inlineStr">
        <is>
          <t>2026-10-05</t>
        </is>
      </c>
      <c r="C30" s="11" t="inlineStr">
        <is>
          <t>Play user</t>
        </is>
      </c>
      <c r="D30" s="11" t="inlineStr">
        <is>
          <t>Play user</t>
        </is>
      </c>
      <c r="E30" s="11" t="inlineStr">
        <is>
          <t>Backend (after db push)</t>
        </is>
      </c>
      <c r="F30" s="10" t="inlineStr">
        <is>
          <t>Bug</t>
        </is>
      </c>
      <c r="G30" s="10" t="inlineStr">
        <is>
          <t>High</t>
        </is>
      </c>
      <c r="H30" s="11" t="inlineStr">
        <is>
          <t>Issues reported on the live Play app after the database push. All 12 Play-app actions replayed against prod passed. There was a brief blip during the push: background jobs timed out 18:53-18:55 UTC.</t>
        </is>
      </c>
      <c r="I30" s="11" t="inlineStr">
        <is>
          <t>-</t>
        </is>
      </c>
      <c r="J30" s="11" t="inlineStr"/>
      <c r="K30" s="11" t="inlineStr">
        <is>
          <t>Play build</t>
        </is>
      </c>
      <c r="L30" s="11" t="inlineStr"/>
      <c r="M30" s="11" t="inlineStr">
        <is>
          <t>Can't reproduce</t>
        </is>
      </c>
      <c r="N30" s="11" t="inlineStr"/>
      <c r="O30" s="11" t="inlineStr"/>
      <c r="P30" s="11" t="inlineStr">
        <is>
          <t>None</t>
        </is>
      </c>
      <c r="Q30" s="11" t="inlineStr">
        <is>
          <t>12-step replay passed 2026-10-06</t>
        </is>
      </c>
      <c r="R30" s="11" t="inlineStr">
        <is>
          <t>Lesson recorded: see the production-safety rules in CLAUDE.md.</t>
        </is>
      </c>
    </row>
    <row r="31">
      <c r="A31" s="10" t="n">
        <v>30</v>
      </c>
      <c r="B31" s="10" t="inlineStr"/>
      <c r="C31" s="11" t="inlineStr">
        <is>
          <t>Investigation</t>
        </is>
      </c>
      <c r="D31" s="11" t="inlineStr">
        <is>
          <t>Investigation</t>
        </is>
      </c>
      <c r="E31" s="11" t="inlineStr">
        <is>
          <t>Release build</t>
        </is>
      </c>
      <c r="F31" s="10" t="inlineStr">
        <is>
          <t>Build/Infra</t>
        </is>
      </c>
      <c r="G31" s="10" t="inlineStr">
        <is>
          <t>Medium</t>
        </is>
      </c>
      <c r="H31" s="11" t="inlineStr">
        <is>
          <t>Signed bundle build failed twice: R8 lost intermediate files (the machine is short of memory with other Flutter tools open), then a stale generated plugin file. Workaround: flutter clean, then build, with other Flutter/IDE windows closed.</t>
        </is>
      </c>
      <c r="I31" s="11" t="inlineStr">
        <is>
          <t>flutter build appbundle --release</t>
        </is>
      </c>
      <c r="J31" s="11" t="inlineStr"/>
      <c r="K31" s="11" t="inlineStr">
        <is>
          <t>Mac, 8 GB RAM</t>
        </is>
      </c>
      <c r="L31" s="11" t="inlineStr"/>
      <c r="M31" s="11" t="inlineStr">
        <is>
          <t>Verified</t>
        </is>
      </c>
      <c r="N31" s="11" t="inlineStr"/>
      <c r="O31" s="11" t="inlineStr">
        <is>
          <t>scripts/release/build_play_bundle.sh; close other Flutter / IDE windows first</t>
        </is>
      </c>
      <c r="P31" s="11" t="inlineStr">
        <is>
          <t>None</t>
        </is>
      </c>
      <c r="Q31" s="11" t="inlineStr">
        <is>
          <t>Claude, 2026-10-13: the signed 1.0.0+8 bundle built and passed the script's checks (Gradle about 156 s)</t>
        </is>
      </c>
      <c r="R31" s="11" t="inlineStr">
        <is>
          <t>1.0.0+8 bundle not built yet. | Built successfully on 2026-10-13 09:56 IST.</t>
        </is>
      </c>
    </row>
    <row r="32">
      <c r="A32" s="10" t="inlineStr">
        <is>
          <t>31</t>
        </is>
      </c>
      <c r="B32" s="10" t="inlineStr">
        <is>
          <t>2026-10-13</t>
        </is>
      </c>
      <c r="C32" s="11" t="inlineStr">
        <is>
          <t>Owner</t>
        </is>
      </c>
      <c r="D32" s="11" t="inlineStr">
        <is>
          <t>Owner</t>
        </is>
      </c>
      <c r="E32" s="11" t="inlineStr">
        <is>
          <t>Games (Tulasi)</t>
        </is>
      </c>
      <c r="F32" s="10" t="inlineStr">
        <is>
          <t>Improvement</t>
        </is>
      </c>
      <c r="G32" s="10" t="inlineStr">
        <is>
          <t>High</t>
        </is>
      </c>
      <c r="H32" s="11" t="inlineStr">
        <is>
          <t>Games from the Tulasi platform inside the app (Android only): the Games tab, a Games row on Home, and Games in the More menu of audio, video, host and PK rooms. A game opens in a panel at the bottom; the list, pictures and the Games switch update live; games can be hidden or shown from the panel; 18+ notice and date-of-birth rule; balance calls are handled by our backend.</t>
        </is>
      </c>
      <c r="I32" s="11" t="inlineStr">
        <is>
          <t>Release controls &gt; Games ON; open the Games tab on an Android phone with 1.0.0+8.</t>
        </is>
      </c>
      <c r="J32" s="11" t="inlineStr">
        <is>
          <t>Expected: the shown games open and play with the user's coins. Actual: works; 23 players and 14,056 successful balance calls on 13-14 Oct; the wallet ledger reconciles to the coin.</t>
        </is>
      </c>
      <c r="K32" s="11" t="inlineStr">
        <is>
          <t>Android, Play build 1.0.0+8; Tulasi merchant 1503251, Singapore node</t>
        </is>
      </c>
      <c r="L32" s="11" t="n"/>
      <c r="M32" s="11" t="inlineStr">
        <is>
          <t>Released</t>
        </is>
      </c>
      <c r="N32" s="11" t="n"/>
      <c r="O32" s="11" t="inlineStr">
        <is>
          <t>1.0.0+8 (0d550ff); migrations 20261013100000 to 20261013140000; Edge function tulasi; panel main b37c27e</t>
        </is>
      </c>
      <c r="P32" s="11" t="inlineStr">
        <is>
          <t>App build, Database migration, Edge function, Panel deploy</t>
        </is>
      </c>
      <c r="Q32" s="11" t="inlineStr">
        <is>
          <t>Owner on the staging APK 2026-10-13; production play checked in the data by Claude 2026-10-14; the owner's own production round is still pending</t>
        </is>
      </c>
      <c r="R32" s="11" t="inlineStr">
        <is>
          <t>Live since the Games switch was turned ON at 14:01 IST on 2026-10-13 with 10 of the 44 games shown. Android only; an iPhone shows 'coming soon'. Details: sabalive/docs/TULASI_GAMES.md.</t>
        </is>
      </c>
    </row>
    <row r="33">
      <c r="A33" s="10" t="inlineStr">
        <is>
          <t>32</t>
        </is>
      </c>
      <c r="B33" s="10" t="inlineStr">
        <is>
          <t>2026-10-13</t>
        </is>
      </c>
      <c r="C33" s="11" t="inlineStr">
        <is>
          <t>Owner</t>
        </is>
      </c>
      <c r="D33" s="11" t="inlineStr">
        <is>
          <t>Owner</t>
        </is>
      </c>
      <c r="E33" s="11" t="inlineStr">
        <is>
          <t>Games / live room</t>
        </is>
      </c>
      <c r="F33" s="10" t="inlineStr">
        <is>
          <t>Bug</t>
        </is>
      </c>
      <c r="G33" s="10" t="inlineStr">
        <is>
          <t>Medium</t>
        </is>
      </c>
      <c r="H33" s="11" t="inlineStr">
        <is>
          <t>A game opened from an audio live showed half the game and a black block covering the live; the Games list stayed behind it and the live above was not usable.</t>
        </is>
      </c>
      <c r="I33" s="11" t="inlineStr">
        <is>
          <t>Start an audio live &gt; More &gt; Games &gt; open a game.</t>
        </is>
      </c>
      <c r="J33" s="11" t="inlineStr">
        <is>
          <t>Expected: a game panel at the bottom with the live visible and usable above it. Actual: a 90% tall sheet with a black top, the Games list still behind it.</t>
        </is>
      </c>
      <c r="K33" s="11" t="inlineStr">
        <is>
          <t>Realme RMX1992 (Android), staging APK 1.0.0+8 of 2026-10-13</t>
        </is>
      </c>
      <c r="L33" s="11" t="n"/>
      <c r="M33" s="11" t="inlineStr">
        <is>
          <t>Released</t>
        </is>
      </c>
      <c r="N33" s="11" t="n"/>
      <c r="O33" s="11" t="inlineStr">
        <is>
          <t>1.0.0+8 (0d550ff): GamePanelRoute + showGamePanel; the panel height is read from the game page</t>
        </is>
      </c>
      <c r="P33" s="11" t="inlineStr">
        <is>
          <t>App build</t>
        </is>
      </c>
      <c r="Q33" s="11" t="inlineStr">
        <is>
          <t>Owner, staging APK built 07:11 IST 2026-10-13 ('fix is done'); not yet on the Play build</t>
        </is>
      </c>
      <c r="R33" s="11" t="inlineStr">
        <is>
          <t>ROOT CAUSE: the games are Cocos canvases that keep the screen width and hang from the bottom, so extra height shows black; every game reports 750x1334 until its assets finish loading, so that value is ignored for 90 s. Measured: Teen Patti Gold, Dragon Tiger Battle, Lucky99 square; Greedy and Roulette 1.6x tall.</t>
        </is>
      </c>
    </row>
    <row r="34">
      <c r="A34" s="10" t="inlineStr">
        <is>
          <t>33</t>
        </is>
      </c>
      <c r="B34" s="10" t="inlineStr">
        <is>
          <t>2026-10-13</t>
        </is>
      </c>
      <c r="C34" s="11" t="inlineStr">
        <is>
          <t>Owner</t>
        </is>
      </c>
      <c r="D34" s="11" t="inlineStr">
        <is>
          <t>Investigation</t>
        </is>
      </c>
      <c r="E34" s="11" t="inlineStr">
        <is>
          <t>Tulasi push (Sync Game List)</t>
        </is>
      </c>
      <c r="F34" s="10" t="inlineStr">
        <is>
          <t>Build/Infra</t>
        </is>
      </c>
      <c r="G34" s="10" t="inlineStr">
        <is>
          <t>High</t>
        </is>
      </c>
      <c r="H34" s="11" t="inlineStr">
        <is>
          <t>Sync Game List in the Tulasi dashboard said 'Sync game list fail'. Two causes: our function copied every picture before answering (15 s), and decrypting the full 44-game push with pure-JavaScript RSA exceeded the Edge Function CPU limit (HTTP 546). FIX: answer first and copy pictures in the background; native RSA decryption; accept the platform's real payload (no status field, relative picture paths).</t>
        </is>
      </c>
      <c r="I34" s="11" t="inlineStr">
        <is>
          <t>Tulasi dashboard &gt; Merchant Game Config &gt; Sync Game List &gt; Confirm.</t>
        </is>
      </c>
      <c r="J34" s="11" t="inlineStr">
        <is>
          <t>Expected: success and the list in our database. Actual: fail, nothing written.</t>
        </is>
      </c>
      <c r="K34" s="11" t="inlineStr">
        <is>
          <t>Supabase Edge Function tulasi (staging, then production)</t>
        </is>
      </c>
      <c r="L34" s="11" t="n"/>
      <c r="M34" s="11" t="inlineStr">
        <is>
          <t>Verified</t>
        </is>
      </c>
      <c r="N34" s="11" t="n"/>
      <c r="O34" s="11" t="inlineStr">
        <is>
          <t>tulasi function (commits up to 5771196); migration 20261013140000</t>
        </is>
      </c>
      <c r="P34" s="11" t="inlineStr">
        <is>
          <t>Edge function, Database migration</t>
        </is>
      </c>
      <c r="Q34" s="11" t="inlineStr">
        <is>
          <t>Claude, 2026-10-13: the dashboard said 'Sync game list success' on staging and then on production (44 games, 44 logos and banners copied to our storage)</t>
        </is>
      </c>
      <c r="R34" s="11" t="inlineStr">
        <is>
          <t>The platform's Request Tester sends different fields from its documentation. A header x-decrypt tells which RSA path ran; x-config says why keys are unusable.</t>
        </is>
      </c>
    </row>
    <row r="35">
      <c r="A35" s="10" t="inlineStr">
        <is>
          <t>34</t>
        </is>
      </c>
      <c r="B35" s="10" t="inlineStr">
        <is>
          <t>2026-10-14</t>
        </is>
      </c>
      <c r="C35" s="11" t="inlineStr">
        <is>
          <t>Owner</t>
        </is>
      </c>
      <c r="D35" s="11" t="inlineStr">
        <is>
          <t>Investigation</t>
        </is>
      </c>
      <c r="E35" s="11" t="inlineStr">
        <is>
          <t>Games / limits</t>
        </is>
      </c>
      <c r="F35" s="10" t="inlineStr">
        <is>
          <t>Policy</t>
        </is>
      </c>
      <c r="G35" s="10" t="inlineStr">
        <is>
          <t>High</t>
        </is>
      </c>
      <c r="H35" s="11" t="inlineStr">
        <is>
          <t>Players can bet up to 100,000 coins per bet and there is no daily loss or win cap. Overnight 23 players bet 13.8M coins and got back 10.6M; 6 of 23 lost more than 50,000 and some ended with almost no coins.</t>
        </is>
      </c>
      <c r="I35" s="11" t="inlineStr">
        <is>
          <t>-</t>
        </is>
      </c>
      <c r="J35" s="11" t="inlineStr">
        <is>
          <t>Suggested caps: largest bet 10,000, daily loss 50,000, daily win 200,000. Actual: 100,000 / none / none.</t>
        </is>
      </c>
      <c r="K35" s="11" t="inlineStr">
        <is>
          <t>Production, game_config</t>
        </is>
      </c>
      <c r="L35" s="11" t="n"/>
      <c r="M35" s="11" t="inlineStr">
        <is>
          <t>Won't fix</t>
        </is>
      </c>
      <c r="N35" s="11" t="n"/>
      <c r="O35" s="11" t="inlineStr">
        <is>
          <t>-</t>
        </is>
      </c>
      <c r="P35" s="11" t="inlineStr">
        <is>
          <t>Decision</t>
        </is>
      </c>
      <c r="Q35" s="11" t="inlineStr">
        <is>
          <t>Owner decision 2026-10-14: keep the existing numbers</t>
        </is>
      </c>
      <c r="R35" s="11" t="inlineStr">
        <is>
          <t>Revisit with more data. The limits can be changed at any time on the panel's Games page and apply to the next bet. Other protections stay: 18+ rule, payout cap (100x the bets on that game in 15 minutes), refusal of late or duplicate calls.</t>
        </is>
      </c>
    </row>
    <row r="36">
      <c r="A36" s="10" t="inlineStr">
        <is>
          <t>35</t>
        </is>
      </c>
      <c r="B36" s="10" t="inlineStr">
        <is>
          <t>2026-10-13</t>
        </is>
      </c>
      <c r="C36" s="11" t="inlineStr">
        <is>
          <t>Owner</t>
        </is>
      </c>
      <c r="D36" s="11" t="inlineStr">
        <is>
          <t>Investigation</t>
        </is>
      </c>
      <c r="E36" s="11" t="inlineStr">
        <is>
          <t>Play Console / games</t>
        </is>
      </c>
      <c r="F36" s="10" t="inlineStr">
        <is>
          <t>Policy</t>
        </is>
      </c>
      <c r="G36" s="10" t="inlineStr">
        <is>
          <t>High</t>
        </is>
      </c>
      <c r="H36" s="11" t="inlineStr">
        <is>
          <t>Confirm that the Play Console content rating and declarations describe the games (simulated casino-style games with purchasable coins, 18+ audience) and that the reviewer notes say the feature is included and turned on from the panel. The games were switched ON for everyone on 2026-10-13 after 1.0.0+8 was approved.</t>
        </is>
      </c>
      <c r="I36" s="11" t="inlineStr">
        <is>
          <t>Play Console &gt; App content.</t>
        </is>
      </c>
      <c r="J36" s="11" t="inlineStr">
        <is>
          <t>Expected: declarations match the live features. Actual: not confirmed.</t>
        </is>
      </c>
      <c r="K36" s="11" t="inlineStr">
        <is>
          <t>Google Play</t>
        </is>
      </c>
      <c r="L36" s="11" t="n"/>
      <c r="M36" s="11" t="inlineStr">
        <is>
          <t>New</t>
        </is>
      </c>
      <c r="N36" s="11" t="n"/>
      <c r="O36" s="11" t="inlineStr">
        <is>
          <t>-</t>
        </is>
      </c>
      <c r="P36" s="11" t="inlineStr">
        <is>
          <t>Store / console action</t>
        </is>
      </c>
      <c r="Q36" s="11" t="inlineStr">
        <is>
          <t>-</t>
        </is>
      </c>
      <c r="R36" s="11" t="inlineStr">
        <is>
          <t>The Tulasi guide says outcomes can be adjusted (platform commission, interventions, robot players); the in-app notice says so. A policy strike could affect the whole app.</t>
        </is>
      </c>
    </row>
    <row r="37">
      <c r="A37" s="10" t="inlineStr">
        <is>
          <t>36</t>
        </is>
      </c>
      <c r="B37" s="10" t="inlineStr">
        <is>
          <t>2026-10-13</t>
        </is>
      </c>
      <c r="C37" s="11" t="inlineStr">
        <is>
          <t>Owner</t>
        </is>
      </c>
      <c r="D37" s="11" t="inlineStr">
        <is>
          <t>Investigation</t>
        </is>
      </c>
      <c r="E37" s="11" t="inlineStr">
        <is>
          <t>Tulasi account</t>
        </is>
      </c>
      <c r="F37" s="10" t="inlineStr">
        <is>
          <t>Build/Infra</t>
        </is>
      </c>
      <c r="G37" s="10" t="inlineStr">
        <is>
          <t>High</t>
        </is>
      </c>
      <c r="H37" s="11" t="inlineStr">
        <is>
          <t>The Tulasi dashboard shows an account Expire Date of 2026-11-22 14:00 (UTC+8). The games stop when it passes unless Tulasi renews it.</t>
        </is>
      </c>
      <c r="I37" s="11" t="inlineStr">
        <is>
          <t>Tulasi dashboard, top of the first page.</t>
        </is>
      </c>
      <c r="J37" s="11" t="inlineStr">
        <is>
          <t>Expected: renewed before the date. Actual: not yet.</t>
        </is>
      </c>
      <c r="K37" s="11" t="inlineStr">
        <is>
          <t>Tulasi dashboard</t>
        </is>
      </c>
      <c r="L37" s="11" t="n"/>
      <c r="M37" s="11" t="inlineStr">
        <is>
          <t>New</t>
        </is>
      </c>
      <c r="N37" s="11" t="n"/>
      <c r="O37" s="11" t="inlineStr">
        <is>
          <t>-</t>
        </is>
      </c>
      <c r="P37" s="11" t="inlineStr">
        <is>
          <t>Decision</t>
        </is>
      </c>
      <c r="Q37" s="11" t="inlineStr">
        <is>
          <t>-</t>
        </is>
      </c>
      <c r="R37" s="11" t="inlineStr">
        <is>
          <t>Ask Tulasi about renewal, fees, a failure code for refused calls, and whether Sync Game List can be automatic.</t>
        </is>
      </c>
    </row>
    <row r="38">
      <c r="A38" s="10" t="inlineStr">
        <is>
          <t>37</t>
        </is>
      </c>
      <c r="B38" s="10" t="inlineStr">
        <is>
          <t>2026-10-12</t>
        </is>
      </c>
      <c r="C38" s="11" t="inlineStr">
        <is>
          <t>Owner</t>
        </is>
      </c>
      <c r="D38" s="11" t="inlineStr">
        <is>
          <t>Investigation</t>
        </is>
      </c>
      <c r="E38" s="11" t="inlineStr">
        <is>
          <t>Security / credentials</t>
        </is>
      </c>
      <c r="F38" s="10" t="inlineStr">
        <is>
          <t>Security</t>
        </is>
      </c>
      <c r="G38" s="10" t="inlineStr">
        <is>
          <t>Medium</t>
        </is>
      </c>
      <c r="H38" s="11" t="inlineStr">
        <is>
          <t>The Tulasi dashboard password was pasted into the chat early in the work, and the first lines of the private-key box were visible in screenshots while setting the keys on staging. Change the password. Rotate the keys with Reset only together with re-setting the secrets on BOTH Supabase projects.</t>
        </is>
      </c>
      <c r="I38" s="11" t="inlineStr">
        <is>
          <t>-</t>
        </is>
      </c>
      <c r="J38" s="11" t="inlineStr">
        <is>
          <t>Expected: no credential in a chat. Actual: shared once.</t>
        </is>
      </c>
      <c r="K38" s="11" t="inlineStr">
        <is>
          <t>Tulasi dashboard</t>
        </is>
      </c>
      <c r="L38" s="11" t="n"/>
      <c r="M38" s="11" t="inlineStr">
        <is>
          <t>New</t>
        </is>
      </c>
      <c r="N38" s="11" t="n"/>
      <c r="O38" s="11" t="inlineStr">
        <is>
          <t>-</t>
        </is>
      </c>
      <c r="P38" s="11" t="inlineStr">
        <is>
          <t>Decision</t>
        </is>
      </c>
      <c r="Q38" s="11" t="inlineStr">
        <is>
          <t>-</t>
        </is>
      </c>
      <c r="R38" s="11" t="inlineStr">
        <is>
          <t>The same keys are set on staging and production (one merchant).</t>
        </is>
      </c>
    </row>
    <row r="39">
      <c r="A39" s="10" t="inlineStr">
        <is>
          <t>38</t>
        </is>
      </c>
      <c r="B39" s="10" t="inlineStr">
        <is>
          <t>2026-10-13</t>
        </is>
      </c>
      <c r="C39" s="11" t="inlineStr">
        <is>
          <t>Owner</t>
        </is>
      </c>
      <c r="D39" s="11" t="inlineStr">
        <is>
          <t>Investigation</t>
        </is>
      </c>
      <c r="E39" s="11" t="inlineStr">
        <is>
          <t>Games on iPhone</t>
        </is>
      </c>
      <c r="F39" s="10" t="inlineStr">
        <is>
          <t>Improvement</t>
        </is>
      </c>
      <c r="G39" s="10" t="inlineStr">
        <is>
          <t>Low</t>
        </is>
      </c>
      <c r="H39" s="11" t="inlineStr">
        <is>
          <t>iPhones show 'coming soon': the games are Android only until the store and legal review for Apple is settled.</t>
        </is>
      </c>
      <c r="I39" s="11" t="inlineStr">
        <is>
          <t>-</t>
        </is>
      </c>
      <c r="J39" s="11" t="inlineStr">
        <is>
          <t>-</t>
        </is>
      </c>
      <c r="K39" s="11" t="inlineStr">
        <is>
          <t>iOS</t>
        </is>
      </c>
      <c r="L39" s="11" t="n"/>
      <c r="M39" s="11" t="inlineStr">
        <is>
          <t>Needs decision</t>
        </is>
      </c>
      <c r="N39" s="11" t="n"/>
      <c r="O39" s="11" t="inlineStr">
        <is>
          <t>-</t>
        </is>
      </c>
      <c r="P39" s="11" t="inlineStr">
        <is>
          <t>Decision</t>
        </is>
      </c>
      <c r="Q39" s="11" t="inlineStr">
        <is>
          <t>-</t>
        </is>
      </c>
      <c r="R39" s="11" t="inlineStr">
        <is>
          <t>Apple 5.3 / 4.7 rules for gambling-style content need a separate review.</t>
        </is>
      </c>
    </row>
    <row r="40">
      <c r="A40" s="10" t="inlineStr">
        <is>
          <t>39</t>
        </is>
      </c>
      <c r="B40" s="10" t="inlineStr">
        <is>
          <t>2026-10-13</t>
        </is>
      </c>
      <c r="C40" s="11" t="inlineStr">
        <is>
          <t>Owner</t>
        </is>
      </c>
      <c r="D40" s="11" t="inlineStr">
        <is>
          <t>Investigation</t>
        </is>
      </c>
      <c r="E40" s="11" t="inlineStr">
        <is>
          <t>Backend (Supabase)</t>
        </is>
      </c>
      <c r="F40" s="10" t="inlineStr">
        <is>
          <t>Build/Infra</t>
        </is>
      </c>
      <c r="G40" s="10" t="inlineStr">
        <is>
          <t>Critical</t>
        </is>
      </c>
      <c r="H40" s="11" t="inlineStr">
        <is>
          <t>Production stalled repeatedly on 13 Oct: background jobs failed to start from 13:43, a 2.5 minute outage at 13:49 after the owner restarted the project, more stalls at 14:05, 14:13, 14:16 and 14:18. Traffic was small (about 8 requests per second, about 10 users): no attack was found. The machine was starved.</t>
        </is>
      </c>
      <c r="I40" s="11" t="inlineStr">
        <is>
          <t>scripts/prod/healthcheck.sh: 'could not query the database' or a status call of several seconds.</t>
        </is>
      </c>
      <c r="J40" s="11" t="inlineStr">
        <is>
          <t>Expected: status call under 1 s. Actual: up to 7 s and 521/502 errors.</t>
        </is>
      </c>
      <c r="K40" s="11" t="inlineStr">
        <is>
          <t>Supabase production, Micro-class compute</t>
        </is>
      </c>
      <c r="L40" s="11" t="n"/>
      <c r="M40" s="11" t="inlineStr">
        <is>
          <t>Verified</t>
        </is>
      </c>
      <c r="N40" s="11" t="n"/>
      <c r="O40" s="11" t="inlineStr">
        <is>
          <t>Compute upgraded by the owner at 14:27 IST on 2026-10-13</t>
        </is>
      </c>
      <c r="P40" s="11" t="inlineStr">
        <is>
          <t>Store / console action</t>
        </is>
      </c>
      <c r="Q40" s="11" t="inlineStr">
        <is>
          <t>Claude, 2026-10-14 06:40: zero failed jobs for 16 hours; the gate function 7.4 ms to 0.09 ms; CPU test 47 ms (idle staging 50 ms)</t>
        </is>
      </c>
      <c r="R40" s="11" t="inlineStr">
        <is>
          <t>Evidence and queries are in HANDOFF.md. Do not restart to fix this. Maintenance ended at 13:26 and 1.0.0+8 reached everyone at once the same afternoon.</t>
        </is>
      </c>
    </row>
    <row r="41">
      <c r="A41" s="10" t="inlineStr">
        <is>
          <t>40</t>
        </is>
      </c>
      <c r="B41" s="10" t="inlineStr">
        <is>
          <t>2026-10-13</t>
        </is>
      </c>
      <c r="C41" s="11" t="inlineStr">
        <is>
          <t>Owner</t>
        </is>
      </c>
      <c r="D41" s="11" t="inlineStr">
        <is>
          <t>Investigation</t>
        </is>
      </c>
      <c r="E41" s="11" t="inlineStr">
        <is>
          <t>Release scripts</t>
        </is>
      </c>
      <c r="F41" s="10" t="inlineStr">
        <is>
          <t>Build/Infra</t>
        </is>
      </c>
      <c r="G41" s="10" t="inlineStr">
        <is>
          <t>Medium</t>
        </is>
      </c>
      <c r="H41" s="11" t="inlineStr">
        <is>
          <t>In a normal terminal 'supabase db query -o json' prints a plain list, but when an agent runs it the result is wrapped in {rows}. The health check, smoke test, backup and staging scripts only understood the wrapped form, so in the owner's terminal every migration stopped at 'could not query the database'. FIX: all scripts accept both; a timed-out call is retried 3 times.</t>
        </is>
      </c>
      <c r="I41" s="11" t="inlineStr">
        <is>
          <t>Run scripts/prod/healthcheck.sh in a normal terminal.</t>
        </is>
      </c>
      <c r="J41" s="11" t="inlineStr">
        <is>
          <t>Expected: checks run. Actual: FAIL could not query the database.</t>
        </is>
      </c>
      <c r="K41" s="11" t="inlineStr">
        <is>
          <t>macOS terminal, Supabase CLI 2.101</t>
        </is>
      </c>
      <c r="L41" s="11" t="n"/>
      <c r="M41" s="11" t="inlineStr">
        <is>
          <t>Verified</t>
        </is>
      </c>
      <c r="N41" s="11" t="n"/>
      <c r="O41" s="11" t="inlineStr">
        <is>
          <t>e484cb6, 5d624c9 (sabalive, now on main)</t>
        </is>
      </c>
      <c r="P41" s="11" t="inlineStr">
        <is>
          <t>None</t>
        </is>
      </c>
      <c r="Q41" s="11" t="inlineStr">
        <is>
          <t>Owner's terminal, 2026-10-13: 16 migrations ran with every check passing</t>
        </is>
      </c>
      <c r="R41" s="11" t="inlineStr">
        <is>
          <t>-</t>
        </is>
      </c>
    </row>
    <row r="42">
      <c r="A42" s="10" t="inlineStr">
        <is>
          <t>41</t>
        </is>
      </c>
      <c r="B42" s="10" t="inlineStr">
        <is>
          <t>2026-10-13</t>
        </is>
      </c>
      <c r="C42" s="11" t="inlineStr">
        <is>
          <t>Owner</t>
        </is>
      </c>
      <c r="D42" s="11" t="inlineStr">
        <is>
          <t>Owner</t>
        </is>
      </c>
      <c r="E42" s="11" t="inlineStr">
        <is>
          <t>Release 1.0.0+8</t>
        </is>
      </c>
      <c r="F42" s="10" t="inlineStr">
        <is>
          <t>Build/Infra</t>
        </is>
      </c>
      <c r="G42" s="10" t="inlineStr">
        <is>
          <t>Medium</t>
        </is>
      </c>
      <c r="H42" s="11" t="inlineStr">
        <is>
          <t>Bundle 1.0.0+8 was built with scripts/release/build_play_bundle.sh (signed with the release key, only the production Supabase address inside, permissions identical to 1.0.0+7), approved by Google and published to everyone at once (no staged rollout) on 2026-10-13.</t>
        </is>
      </c>
      <c r="I42" s="11" t="inlineStr">
        <is>
          <t>-</t>
        </is>
      </c>
      <c r="J42" s="11" t="inlineStr">
        <is>
          <t>-</t>
        </is>
      </c>
      <c r="K42" s="11" t="inlineStr">
        <is>
          <t>Google Play</t>
        </is>
      </c>
      <c r="L42" s="11" t="n"/>
      <c r="M42" s="11" t="inlineStr">
        <is>
          <t>Released</t>
        </is>
      </c>
      <c r="N42" s="11" t="n"/>
      <c r="O42" s="11" t="inlineStr">
        <is>
          <t>1.0.0+8 = tag play-8 (0d550ff)</t>
        </is>
      </c>
      <c r="P42" s="11" t="inlineStr">
        <is>
          <t>Store / console action</t>
        </is>
      </c>
      <c r="Q42" s="11" t="inlineStr">
        <is>
          <t>-</t>
        </is>
      </c>
      <c r="R42" s="11" t="inlineStr">
        <is>
          <t>Tags: play-live = 1.0.0+7 (rollback anchor), play-8, prod-20261013 (app 1dad240, panel b37c27e). The database was upgraded first (16 migrations under maintenance) so new apps found everything they need.</t>
        </is>
      </c>
    </row>
    <row r="43">
      <c r="A43" s="10" t="inlineStr">
        <is>
          <t>42</t>
        </is>
      </c>
      <c r="B43" s="10" t="inlineStr">
        <is>
          <t>2026-10-10</t>
        </is>
      </c>
      <c r="C43" s="11" t="inlineStr">
        <is>
          <t>Owner</t>
        </is>
      </c>
      <c r="D43" s="11" t="inlineStr">
        <is>
          <t>Owner</t>
        </is>
      </c>
      <c r="E43" s="11" t="inlineStr">
        <is>
          <t>Live rooms: moderation</t>
        </is>
      </c>
      <c r="F43" s="10" t="inlineStr">
        <is>
          <t>Improvement</t>
        </is>
      </c>
      <c r="G43" s="10" t="inlineStr">
        <is>
          <t>High</t>
        </is>
      </c>
      <c r="H43" s="11" t="inlineStr">
        <is>
          <t>Room admins (the host adds up to 5), kick, ban and ban text, report, in audio and video lives; the moderation lists update live.</t>
        </is>
      </c>
      <c r="I43" s="11" t="inlineStr">
        <is>
          <t>Host Tools &gt; Room admins; tap a person &gt; Kick / Ban / Ban text.</t>
        </is>
      </c>
      <c r="J43" s="11" t="inlineStr">
        <is>
          <t>-</t>
        </is>
      </c>
      <c r="K43" s="11" t="inlineStr">
        <is>
          <t>Android, 1.0.0+8</t>
        </is>
      </c>
      <c r="L43" s="11" t="n"/>
      <c r="M43" s="11" t="inlineStr">
        <is>
          <t>Released</t>
        </is>
      </c>
      <c r="N43" s="11" t="n"/>
      <c r="O43" s="11" t="inlineStr">
        <is>
          <t>1.0.0+8; migration 20261010100000</t>
        </is>
      </c>
      <c r="P43" s="11" t="inlineStr">
        <is>
          <t>App build, Database migration</t>
        </is>
      </c>
      <c r="Q43" s="11" t="inlineStr">
        <is>
          <t>-</t>
        </is>
      </c>
      <c r="R43" s="11" t="inlineStr">
        <is>
          <t>The options are hidden in the app on a database without the migration; applied on production 2026-10-13.</t>
        </is>
      </c>
    </row>
    <row r="44">
      <c r="A44" s="10" t="inlineStr">
        <is>
          <t>43</t>
        </is>
      </c>
      <c r="B44" s="10" t="inlineStr">
        <is>
          <t>2026-10-12</t>
        </is>
      </c>
      <c r="C44" s="11" t="inlineStr">
        <is>
          <t>Owner</t>
        </is>
      </c>
      <c r="D44" s="11" t="inlineStr">
        <is>
          <t>Owner</t>
        </is>
      </c>
      <c r="E44" s="11" t="inlineStr">
        <is>
          <t>Audio and video seats</t>
        </is>
      </c>
      <c r="F44" s="10" t="inlineStr">
        <is>
          <t>Improvement</t>
        </is>
      </c>
      <c r="G44" s="10" t="inlineStr">
        <is>
          <t>Medium</t>
        </is>
      </c>
      <c r="H44" s="11" t="inlineStr">
        <is>
          <t>Audio seats 4 per row and 4 to 16 seats; video guest seats in a right-hand column; seat glitch hardening (a seat re-read that raced a Realtime change could overwrite the screen with an old list).</t>
        </is>
      </c>
      <c r="I44" s="11" t="inlineStr">
        <is>
          <t>-</t>
        </is>
      </c>
      <c r="J44" s="11" t="inlineStr">
        <is>
          <t>-</t>
        </is>
      </c>
      <c r="K44" s="11" t="inlineStr">
        <is>
          <t>Android, 1.0.0+8</t>
        </is>
      </c>
      <c r="L44" s="11" t="n"/>
      <c r="M44" s="11" t="inlineStr">
        <is>
          <t>Released</t>
        </is>
      </c>
      <c r="N44" s="11" t="n"/>
      <c r="O44" s="11" t="inlineStr">
        <is>
          <t>1.0.0+8 (0d550ff)</t>
        </is>
      </c>
      <c r="P44" s="11" t="inlineStr">
        <is>
          <t>App build</t>
        </is>
      </c>
      <c r="Q44" s="11" t="inlineStr">
        <is>
          <t>-</t>
        </is>
      </c>
      <c r="R44" s="11" t="inlineStr">
        <is>
          <t>The owner's report gave no detail: the likely causes were hardened; not confirmed on devices.</t>
        </is>
      </c>
    </row>
    <row r="45">
      <c r="A45" s="10" t="inlineStr">
        <is>
          <t>44</t>
        </is>
      </c>
      <c r="B45" s="10" t="inlineStr">
        <is>
          <t>2026-10-12</t>
        </is>
      </c>
      <c r="C45" s="11" t="inlineStr">
        <is>
          <t>Owner</t>
        </is>
      </c>
      <c r="D45" s="11" t="inlineStr">
        <is>
          <t>Owner</t>
        </is>
      </c>
      <c r="E45" s="11" t="inlineStr">
        <is>
          <t>Seat speaking indicator</t>
        </is>
      </c>
      <c r="F45" s="10" t="inlineStr">
        <is>
          <t>Bug</t>
        </is>
      </c>
      <c r="G45" s="10" t="inlineStr">
        <is>
          <t>Medium</t>
        </is>
      </c>
      <c r="H45" s="11" t="inlineStr">
        <is>
          <t>Voice waves did not show when OTHER people spoke. FIX: remote speakers light a seat at volume 10 or more (own microphone 25); an unknown speaking id triggers a throttled seat re-read; wave colours per person, host always green.</t>
        </is>
      </c>
      <c r="I45" s="11" t="inlineStr">
        <is>
          <t>Two phones in an audio live; one speaks.</t>
        </is>
      </c>
      <c r="J45" s="11" t="inlineStr">
        <is>
          <t>Expected: the speaker's seat shows waves on both phones. Actual: only the speaker's own.</t>
        </is>
      </c>
      <c r="K45" s="11" t="inlineStr">
        <is>
          <t>Android, 1.0.0+8</t>
        </is>
      </c>
      <c r="L45" s="11" t="n"/>
      <c r="M45" s="11" t="inlineStr">
        <is>
          <t>Released</t>
        </is>
      </c>
      <c r="N45" s="11" t="n"/>
      <c r="O45" s="11" t="inlineStr">
        <is>
          <t>1.0.0+8 (0d550ff)</t>
        </is>
      </c>
      <c r="P45" s="11" t="inlineStr">
        <is>
          <t>App build</t>
        </is>
      </c>
      <c r="Q45" s="11" t="inlineStr">
        <is>
          <t>-</t>
        </is>
      </c>
      <c r="R45" s="11" t="inlineStr">
        <is>
          <t>Could not be reproduced from code; not confirmed on devices.</t>
        </is>
      </c>
    </row>
    <row r="46">
      <c r="A46" s="10" t="inlineStr">
        <is>
          <t>45</t>
        </is>
      </c>
      <c r="B46" s="10" t="inlineStr">
        <is>
          <t>2026-10-12</t>
        </is>
      </c>
      <c r="C46" s="11" t="inlineStr">
        <is>
          <t>Owner</t>
        </is>
      </c>
      <c r="D46" s="11" t="inlineStr">
        <is>
          <t>Owner</t>
        </is>
      </c>
      <c r="E46" s="11" t="inlineStr">
        <is>
          <t>Live chat / emotes</t>
        </is>
      </c>
      <c r="F46" s="10" t="inlineStr">
        <is>
          <t>Improvement</t>
        </is>
      </c>
      <c r="G46" s="10" t="inlineStr">
        <is>
          <t>Medium</t>
        </is>
      </c>
      <c r="H46" s="11" t="inlineStr">
        <is>
          <t>Emoji renamed Emotes: an emote plays over the sender's picture circle (slower: grows and fades), 53 more emotes; the panel page is Emotes &amp; GIFs.</t>
        </is>
      </c>
      <c r="I46" s="11" t="inlineStr">
        <is>
          <t>-</t>
        </is>
      </c>
      <c r="J46" s="11" t="inlineStr">
        <is>
          <t>-</t>
        </is>
      </c>
      <c r="K46" s="11" t="inlineStr">
        <is>
          <t>Android, 1.0.0+8</t>
        </is>
      </c>
      <c r="L46" s="11" t="n"/>
      <c r="M46" s="11" t="inlineStr">
        <is>
          <t>Released</t>
        </is>
      </c>
      <c r="N46" s="11" t="n"/>
      <c r="O46" s="11" t="inlineStr">
        <is>
          <t>1.0.0+8; migration 20261012110000; panel part 1</t>
        </is>
      </c>
      <c r="P46" s="11" t="inlineStr">
        <is>
          <t>App build, Database migration, Panel deploy</t>
        </is>
      </c>
      <c r="Q46" s="11" t="inlineStr">
        <is>
          <t>-</t>
        </is>
      </c>
      <c r="R46" s="11" t="inlineStr">
        <is>
          <t>Production now has 64 emotes.</t>
        </is>
      </c>
    </row>
    <row r="47">
      <c r="A47" s="10" t="inlineStr">
        <is>
          <t>46</t>
        </is>
      </c>
      <c r="B47" s="10" t="inlineStr">
        <is>
          <t>2026-10-11</t>
        </is>
      </c>
      <c r="C47" s="11" t="inlineStr">
        <is>
          <t>Owner</t>
        </is>
      </c>
      <c r="D47" s="11" t="inlineStr">
        <is>
          <t>Owner</t>
        </is>
      </c>
      <c r="E47" s="11" t="inlineStr">
        <is>
          <t>Level banner / entry effect</t>
        </is>
      </c>
      <c r="F47" s="10" t="inlineStr">
        <is>
          <t>Bug</t>
        </is>
      </c>
      <c r="G47" s="10" t="inlineStr">
        <is>
          <t>Medium</t>
        </is>
      </c>
      <c r="H47" s="11" t="inlineStr">
        <is>
          <t>The level join banner was too fast, used the wrong picture, was missing for some viewers and showed twice. FIX: slower (5.2 s hold), uses the charm level picture, the joiner's own banner plays at once, and the entry is claimed before any wait so it plays once.</t>
        </is>
      </c>
      <c r="I47" s="11" t="inlineStr">
        <is>
          <t>Join a live that has viewers.</t>
        </is>
      </c>
      <c r="J47" s="11" t="inlineStr">
        <is>
          <t>-</t>
        </is>
      </c>
      <c r="K47" s="11" t="inlineStr">
        <is>
          <t>Android, 1.0.0+8</t>
        </is>
      </c>
      <c r="L47" s="11" t="n"/>
      <c r="M47" s="11" t="inlineStr">
        <is>
          <t>Released</t>
        </is>
      </c>
      <c r="N47" s="11" t="n"/>
      <c r="O47" s="11" t="inlineStr">
        <is>
          <t>1.0.0+8 (0d550ff)</t>
        </is>
      </c>
      <c r="P47" s="11" t="inlineStr">
        <is>
          <t>App build</t>
        </is>
      </c>
      <c r="Q47" s="11" t="inlineStr">
        <is>
          <t>-</t>
        </is>
      </c>
      <c r="R47" s="11" t="inlineStr">
        <is>
          <t>Seeing OTHER people's arrivals still depends on Realtime; not confirmed on devices.</t>
        </is>
      </c>
    </row>
    <row r="48">
      <c r="A48" s="10" t="inlineStr">
        <is>
          <t>47</t>
        </is>
      </c>
      <c r="B48" s="10" t="inlineStr">
        <is>
          <t>2026-10-11</t>
        </is>
      </c>
      <c r="C48" s="11" t="inlineStr">
        <is>
          <t>Owner</t>
        </is>
      </c>
      <c r="D48" s="11" t="inlineStr">
        <is>
          <t>Owner</t>
        </is>
      </c>
      <c r="E48" s="11" t="inlineStr">
        <is>
          <t>Avatar frames</t>
        </is>
      </c>
      <c r="F48" s="10" t="inlineStr">
        <is>
          <t>Bug</t>
        </is>
      </c>
      <c r="G48" s="10" t="inlineStr">
        <is>
          <t>Medium</t>
        </is>
      </c>
      <c r="H48" s="11" t="inlineStr">
        <is>
          <t>Frames overlapped faces and spilled out of seats and the profile. FIX: the size now includes the frame, the picture is drawn in front, no frame below 40 px, seats reserve one square.</t>
        </is>
      </c>
      <c r="I48" s="11" t="inlineStr">
        <is>
          <t>Look at seats and profiles with a frame.</t>
        </is>
      </c>
      <c r="J48" s="11" t="inlineStr">
        <is>
          <t>-</t>
        </is>
      </c>
      <c r="K48" s="11" t="inlineStr">
        <is>
          <t>Android, 1.0.0+8</t>
        </is>
      </c>
      <c r="L48" s="11" t="n"/>
      <c r="M48" s="11" t="inlineStr">
        <is>
          <t>Released</t>
        </is>
      </c>
      <c r="N48" s="11" t="n"/>
      <c r="O48" s="11" t="inlineStr">
        <is>
          <t>1.0.0+8 (0d550ff)</t>
        </is>
      </c>
      <c r="P48" s="11" t="inlineStr">
        <is>
          <t>App build</t>
        </is>
      </c>
      <c r="Q48" s="11" t="inlineStr">
        <is>
          <t>-</t>
        </is>
      </c>
      <c r="R48" s="11" t="inlineStr">
        <is>
          <t>-</t>
        </is>
      </c>
    </row>
    <row r="49">
      <c r="A49" s="10" t="inlineStr">
        <is>
          <t>48</t>
        </is>
      </c>
      <c r="B49" s="10" t="inlineStr">
        <is>
          <t>2026-10-10</t>
        </is>
      </c>
      <c r="C49" s="11" t="inlineStr">
        <is>
          <t>Owner</t>
        </is>
      </c>
      <c r="D49" s="11" t="inlineStr">
        <is>
          <t>Owner</t>
        </is>
      </c>
      <c r="E49" s="11" t="inlineStr">
        <is>
          <t>Lucky Box</t>
        </is>
      </c>
      <c r="F49" s="10" t="inlineStr">
        <is>
          <t>Improvement</t>
        </is>
      </c>
      <c r="G49" s="10" t="inlineStr">
        <is>
          <t>Medium</t>
        </is>
      </c>
      <c r="H49" s="11" t="inlineStr">
        <is>
          <t>The Lucky Box timer is shown to the host only (not viewers); one reward per host per 24 hours (cooldown set in the panel).</t>
        </is>
      </c>
      <c r="I49" s="11" t="inlineStr">
        <is>
          <t>-</t>
        </is>
      </c>
      <c r="J49" s="11" t="inlineStr">
        <is>
          <t>-</t>
        </is>
      </c>
      <c r="K49" s="11" t="inlineStr">
        <is>
          <t>Android, 1.0.0+8</t>
        </is>
      </c>
      <c r="L49" s="11" t="n"/>
      <c r="M49" s="11" t="inlineStr">
        <is>
          <t>Released</t>
        </is>
      </c>
      <c r="N49" s="11" t="n"/>
      <c r="O49" s="11" t="inlineStr">
        <is>
          <t>1.0.0+8; migration 20261010090000; panel part 2</t>
        </is>
      </c>
      <c r="P49" s="11" t="inlineStr">
        <is>
          <t>App build, Database migration, Panel deploy</t>
        </is>
      </c>
      <c r="Q49" s="11" t="inlineStr">
        <is>
          <t>-</t>
        </is>
      </c>
      <c r="R49" s="11" t="inlineStr">
        <is>
          <t>Applied on production 2026-10-13.</t>
        </is>
      </c>
    </row>
    <row r="50">
      <c r="A50" s="10" t="inlineStr">
        <is>
          <t>49</t>
        </is>
      </c>
      <c r="B50" s="10" t="inlineStr">
        <is>
          <t>2026-10-11</t>
        </is>
      </c>
      <c r="C50" s="11" t="inlineStr">
        <is>
          <t>Owner</t>
        </is>
      </c>
      <c r="D50" s="11" t="inlineStr">
        <is>
          <t>Owner</t>
        </is>
      </c>
      <c r="E50" s="11" t="inlineStr">
        <is>
          <t>Screen protection</t>
        </is>
      </c>
      <c r="F50" s="10" t="inlineStr">
        <is>
          <t>Improvement</t>
        </is>
      </c>
      <c r="G50" s="10" t="inlineStr">
        <is>
          <t>Medium</t>
        </is>
      </c>
      <c r="H50" s="11" t="inlineStr">
        <is>
          <t>Android shows a black picture to screenshots, screen recording, casting and the recent-apps list when the panel switch is on (default off).</t>
        </is>
      </c>
      <c r="I50" s="11" t="inlineStr">
        <is>
          <t>Release controls &gt; Block screenshots and screen recording ON.</t>
        </is>
      </c>
      <c r="J50" s="11" t="inlineStr">
        <is>
          <t>-</t>
        </is>
      </c>
      <c r="K50" s="11" t="inlineStr">
        <is>
          <t>Android, 1.0.0+8</t>
        </is>
      </c>
      <c r="L50" s="11" t="n"/>
      <c r="M50" s="11" t="inlineStr">
        <is>
          <t>Released</t>
        </is>
      </c>
      <c r="N50" s="11" t="n"/>
      <c r="O50" s="11" t="inlineStr">
        <is>
          <t>1.0.0+8; panel part 1</t>
        </is>
      </c>
      <c r="P50" s="11" t="inlineStr">
        <is>
          <t>App build, Panel deploy</t>
        </is>
      </c>
      <c r="Q50" s="11" t="inlineStr">
        <is>
          <t>-</t>
        </is>
      </c>
      <c r="R50" s="11" t="inlineStr">
        <is>
          <t>The switch is currently OFF. iPhones cannot block screenshots.</t>
        </is>
      </c>
    </row>
    <row r="51">
      <c r="A51" s="10" t="inlineStr">
        <is>
          <t>50</t>
        </is>
      </c>
      <c r="B51" s="10" t="inlineStr">
        <is>
          <t>2026-10-12</t>
        </is>
      </c>
      <c r="C51" s="11" t="inlineStr">
        <is>
          <t>Owner</t>
        </is>
      </c>
      <c r="D51" s="11" t="inlineStr">
        <is>
          <t>Owner</t>
        </is>
      </c>
      <c r="E51" s="11" t="inlineStr">
        <is>
          <t>Login</t>
        </is>
      </c>
      <c r="F51" s="10" t="inlineStr">
        <is>
          <t>Improvement</t>
        </is>
      </c>
      <c r="G51" s="10" t="inlineStr">
        <is>
          <t>Low</t>
        </is>
      </c>
      <c r="H51" s="11" t="inlineStr">
        <is>
          <t>Social login shown as two full-width banners, Google and Apple.</t>
        </is>
      </c>
      <c r="I51" s="11" t="inlineStr">
        <is>
          <t>-</t>
        </is>
      </c>
      <c r="J51" s="11" t="inlineStr">
        <is>
          <t>-</t>
        </is>
      </c>
      <c r="K51" s="11" t="inlineStr">
        <is>
          <t>Android and iOS, 1.0.0+8</t>
        </is>
      </c>
      <c r="L51" s="11" t="n"/>
      <c r="M51" s="11" t="inlineStr">
        <is>
          <t>Released</t>
        </is>
      </c>
      <c r="N51" s="11" t="n"/>
      <c r="O51" s="11" t="inlineStr">
        <is>
          <t>1.0.0+8 (0d550ff)</t>
        </is>
      </c>
      <c r="P51" s="11" t="inlineStr">
        <is>
          <t>App build</t>
        </is>
      </c>
      <c r="Q51" s="11" t="inlineStr">
        <is>
          <t>-</t>
        </is>
      </c>
      <c r="R51" s="11" t="inlineStr">
        <is>
          <t>Apple's guidelines ask for 'Sign in with Apple' wording: check at review.</t>
        </is>
      </c>
    </row>
    <row r="52">
      <c r="A52" s="10" t="inlineStr">
        <is>
          <t>51</t>
        </is>
      </c>
      <c r="B52" s="10" t="inlineStr">
        <is>
          <t>2026-10-11</t>
        </is>
      </c>
      <c r="C52" s="11" t="inlineStr">
        <is>
          <t>Owner</t>
        </is>
      </c>
      <c r="D52" s="11" t="inlineStr">
        <is>
          <t>Owner</t>
        </is>
      </c>
      <c r="E52" s="11" t="inlineStr">
        <is>
          <t>Store</t>
        </is>
      </c>
      <c r="F52" s="10" t="inlineStr">
        <is>
          <t>Improvement</t>
        </is>
      </c>
      <c r="G52" s="10" t="inlineStr">
        <is>
          <t>Low</t>
        </is>
      </c>
      <c r="H52" s="11" t="inlineStr">
        <is>
          <t>Garage tab removed (Store tabs: Frame, Lucky ID, Entry, Room Skin); room skin picker; theme and branding colours come from the panel.</t>
        </is>
      </c>
      <c r="I52" s="11" t="inlineStr">
        <is>
          <t>-</t>
        </is>
      </c>
      <c r="J52" s="11" t="inlineStr">
        <is>
          <t>-</t>
        </is>
      </c>
      <c r="K52" s="11" t="inlineStr">
        <is>
          <t>Android, 1.0.0+8</t>
        </is>
      </c>
      <c r="L52" s="11" t="n"/>
      <c r="M52" s="11" t="inlineStr">
        <is>
          <t>Released</t>
        </is>
      </c>
      <c r="N52" s="11" t="n"/>
      <c r="O52" s="11" t="inlineStr">
        <is>
          <t>1.0.0+8 (0d550ff)</t>
        </is>
      </c>
      <c r="P52" s="11" t="inlineStr">
        <is>
          <t>App build</t>
        </is>
      </c>
      <c r="Q52" s="11" t="inlineStr">
        <is>
          <t>-</t>
        </is>
      </c>
      <c r="R52" s="11" t="inlineStr">
        <is>
          <t>-</t>
        </is>
      </c>
    </row>
    <row r="53">
      <c r="A53" s="10" t="inlineStr">
        <is>
          <t>52</t>
        </is>
      </c>
      <c r="B53" s="10" t="inlineStr">
        <is>
          <t>2026-10-09</t>
        </is>
      </c>
      <c r="C53" s="11" t="inlineStr">
        <is>
          <t>Owner</t>
        </is>
      </c>
      <c r="D53" s="11" t="inlineStr">
        <is>
          <t>Owner</t>
        </is>
      </c>
      <c r="E53" s="11" t="inlineStr">
        <is>
          <t>Live gifts and rooms</t>
        </is>
      </c>
      <c r="F53" s="10" t="inlineStr">
        <is>
          <t>Improvement</t>
        </is>
      </c>
      <c r="G53" s="10" t="inlineStr">
        <is>
          <t>Medium</t>
        </is>
      </c>
      <c r="H53" s="11" t="inlineStr">
        <is>
          <t>Send a gift to All (one gift to everyone in the room); effect play speed and sound per effect; leaving a live frees the seat at once and silent viewers are swept after 75 s.</t>
        </is>
      </c>
      <c r="I53" s="11" t="inlineStr">
        <is>
          <t>-</t>
        </is>
      </c>
      <c r="J53" s="11" t="inlineStr">
        <is>
          <t>-</t>
        </is>
      </c>
      <c r="K53" s="11" t="inlineStr">
        <is>
          <t>Android, 1.0.0+8</t>
        </is>
      </c>
      <c r="L53" s="11" t="n"/>
      <c r="M53" s="11" t="inlineStr">
        <is>
          <t>Released</t>
        </is>
      </c>
      <c r="N53" s="11" t="n"/>
      <c r="O53" s="11" t="inlineStr">
        <is>
          <t>1.0.0+8; migrations 20261009100000, 20261009110000, 20261009120000</t>
        </is>
      </c>
      <c r="P53" s="11" t="inlineStr">
        <is>
          <t>App build, Database migration, Panel deploy</t>
        </is>
      </c>
      <c r="Q53" s="11" t="inlineStr">
        <is>
          <t>-</t>
        </is>
      </c>
      <c r="R53" s="11" t="inlineStr">
        <is>
          <t>Applied on production 2026-10-13.</t>
        </is>
      </c>
    </row>
  </sheetData>
  <autoFilter ref="A1:R53"/>
  <conditionalFormatting sqref="G2:G400">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M2:M400">
    <cfRule type="cellIs" priority="5" operator="equal" dxfId="4">
      <formula>"Fixed (in code)"</formula>
    </cfRule>
    <cfRule type="cellIs" priority="6" operator="equal" dxfId="4">
      <formula>"Released"</formula>
    </cfRule>
    <cfRule type="cellIs" priority="7" operator="equal" dxfId="4">
      <formula>"Verified"</formula>
    </cfRule>
    <cfRule type="cellIs" priority="8" operator="equal" dxfId="4">
      <formula>"Closed"</formula>
    </cfRule>
    <cfRule type="cellIs" priority="9" operator="equal" dxfId="5">
      <formula>"New"</formula>
    </cfRule>
    <cfRule type="cellIs" priority="10" operator="equal" dxfId="5">
      <formula>"Confirmed"</formula>
    </cfRule>
    <cfRule type="cellIs" priority="11" operator="equal" dxfId="5">
      <formula>"In progress"</formula>
    </cfRule>
    <cfRule type="cellIs" priority="12" operator="equal" dxfId="5">
      <formula>"Needs decision"</formula>
    </cfRule>
    <cfRule type="cellIs" priority="13" operator="equal" dxfId="3">
      <formula>"Can't reproduce"</formula>
    </cfRule>
    <cfRule type="cellIs" priority="14" operator="equal" dxfId="3">
      <formula>"Won't fix"</formula>
    </cfRule>
  </conditionalFormatting>
  <dataValidations count="5">
    <dataValidation sqref="D2:D400" showDropDown="0" showInputMessage="0" showErrorMessage="0" allowBlank="1" type="list">
      <formula1>=Lists!$E$2:$E$8</formula1>
    </dataValidation>
    <dataValidation sqref="F2:F400" showDropDown="0" showInputMessage="0" showErrorMessage="0" allowBlank="1" type="list">
      <formula1>=Lists!$A$2:$A$8</formula1>
    </dataValidation>
    <dataValidation sqref="G2:G400" showDropDown="0" showInputMessage="0" showErrorMessage="0" allowBlank="1" type="list">
      <formula1>=Lists!$B$2:$B$5</formula1>
    </dataValidation>
    <dataValidation sqref="M2:M400" showDropDown="0" showInputMessage="0" showErrorMessage="0" allowBlank="1" type="list">
      <formula1>=Lists!$C$2:$C$11</formula1>
    </dataValidation>
    <dataValidation sqref="P2:P400" showDropDown="0" showInputMessage="0" showErrorMessage="0" allowBlank="1" type="list">
      <formula1>=Lists!$D$2:$D$8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12" customWidth="1" min="2" max="2"/>
    <col width="14" customWidth="1" min="3" max="3"/>
    <col width="14" customWidth="1" min="4" max="4"/>
    <col width="26" customWidth="1" min="5" max="5"/>
    <col width="13" customWidth="1" min="6" max="6"/>
    <col width="10" customWidth="1" min="7" max="7"/>
    <col width="62" customWidth="1" min="8" max="8"/>
    <col width="28" customWidth="1" min="9" max="9"/>
    <col width="28" customWidth="1" min="10" max="10"/>
    <col width="20" customWidth="1" min="11" max="11"/>
    <col width="12" customWidth="1" min="12" max="12"/>
    <col width="18" customWidth="1" min="13" max="13"/>
    <col width="15" customWidth="1" min="14" max="14"/>
    <col width="13" customWidth="1" min="15" max="15"/>
    <col width="26" customWidth="1" min="16" max="16"/>
    <col width="18" customWidth="1" min="17" max="17"/>
    <col width="20" customWidth="1" min="18" max="18"/>
    <col width="40" customWidth="1" min="19" max="19"/>
  </cols>
  <sheetData>
    <row r="1" ht="34" customHeight="1">
      <c r="A1" s="9" t="inlineStr">
        <is>
          <t>Sr no</t>
        </is>
      </c>
      <c r="B1" s="9" t="inlineStr">
        <is>
          <t>Date reported</t>
        </is>
      </c>
      <c r="C1" s="9" t="inlineStr">
        <is>
          <t>Reported by</t>
        </is>
      </c>
      <c r="D1" s="9" t="inlineStr">
        <is>
          <t>Source</t>
        </is>
      </c>
      <c r="E1" s="9" t="inlineStr">
        <is>
          <t>Page / capability</t>
        </is>
      </c>
      <c r="F1" s="9" t="inlineStr">
        <is>
          <t>Type</t>
        </is>
      </c>
      <c r="G1" s="9" t="inlineStr">
        <is>
          <t>Severity</t>
        </is>
      </c>
      <c r="H1" s="9" t="inlineStr">
        <is>
          <t>Issue / Fix</t>
        </is>
      </c>
      <c r="I1" s="9" t="inlineStr">
        <is>
          <t>Steps to reproduce</t>
        </is>
      </c>
      <c r="J1" s="9" t="inlineStr">
        <is>
          <t>Expected vs actual</t>
        </is>
      </c>
      <c r="K1" s="9" t="inlineStr">
        <is>
          <t>Role affected</t>
        </is>
      </c>
      <c r="L1" s="9" t="inlineStr">
        <is>
          <t>Browser</t>
        </is>
      </c>
      <c r="M1" s="9" t="inlineStr">
        <is>
          <t>Evidence (link)</t>
        </is>
      </c>
      <c r="N1" s="9" t="inlineStr">
        <is>
          <t>Status</t>
        </is>
      </c>
      <c r="O1" s="9" t="inlineStr">
        <is>
          <t>Assigned to</t>
        </is>
      </c>
      <c r="P1" s="9" t="inlineStr">
        <is>
          <t>Fixed in (version / commit)</t>
        </is>
      </c>
      <c r="Q1" s="9" t="inlineStr">
        <is>
          <t>Fix needs</t>
        </is>
      </c>
      <c r="R1" s="9" t="inlineStr">
        <is>
          <t>Verified by / date</t>
        </is>
      </c>
      <c r="S1" s="9" t="inlineStr">
        <is>
          <t>Notes / root cause</t>
        </is>
      </c>
    </row>
    <row r="2">
      <c r="A2" s="10" t="n">
        <v>1</v>
      </c>
      <c r="B2" s="10" t="inlineStr"/>
      <c r="C2" s="11" t="inlineStr">
        <is>
          <t>Owner</t>
        </is>
      </c>
      <c r="D2" s="11" t="inlineStr">
        <is>
          <t>Owner</t>
        </is>
      </c>
      <c r="E2" s="11" t="inlineStr">
        <is>
          <t>Ghost IDs (Super Admin)</t>
        </is>
      </c>
      <c r="F2" s="10" t="inlineStr">
        <is>
          <t>Improvement</t>
        </is>
      </c>
      <c r="G2" s="10" t="inlineStr">
        <is>
          <t>Medium</t>
        </is>
      </c>
      <c r="H2" s="11" t="inlineStr">
        <is>
          <t>Ghost accounts: invisible view-only monitoring logins managed by Super Admin.</t>
        </is>
      </c>
      <c r="I2" s="11" t="inlineStr">
        <is>
          <t>-</t>
        </is>
      </c>
      <c r="J2" s="11" t="inlineStr"/>
      <c r="K2" s="11" t="inlineStr">
        <is>
          <t>Super Admin</t>
        </is>
      </c>
      <c r="L2" s="11" t="inlineStr"/>
      <c r="M2" s="11" t="inlineStr"/>
      <c r="N2" s="11" t="inlineStr">
        <is>
          <t>Released</t>
        </is>
      </c>
      <c r="O2" s="11" t="inlineStr"/>
      <c r="P2" s="11" t="inlineStr">
        <is>
          <t>Oct 3 | Released: live on the admin panel (main b37c27e, 2026-10-13); its database part is applied on production</t>
        </is>
      </c>
      <c r="Q2" s="11" t="inlineStr">
        <is>
          <t>Database migration</t>
        </is>
      </c>
      <c r="R2" s="11" t="inlineStr"/>
      <c r="S2" s="11" t="inlineStr">
        <is>
          <t>Edge function ghost-admin deployed. | Status set to Released on 2026-10-14: the panel deploys from main, which now contains this change. Not yet verified by a person.</t>
        </is>
      </c>
    </row>
    <row r="3">
      <c r="A3" s="10" t="n">
        <v>2</v>
      </c>
      <c r="B3" s="10" t="inlineStr"/>
      <c r="C3" s="11" t="inlineStr">
        <is>
          <t>Owner</t>
        </is>
      </c>
      <c r="D3" s="11" t="inlineStr">
        <is>
          <t>Owner</t>
        </is>
      </c>
      <c r="E3" s="11" t="inlineStr">
        <is>
          <t>Live Monitor</t>
        </is>
      </c>
      <c r="F3" s="10" t="inlineStr">
        <is>
          <t>Improvement</t>
        </is>
      </c>
      <c r="G3" s="10" t="inlineStr">
        <is>
          <t>Medium</t>
        </is>
      </c>
      <c r="H3" s="11" t="inlineStr">
        <is>
          <t>Super Admin and Master can watch any live invisibly from the panel (capability monitor_lives).</t>
        </is>
      </c>
      <c r="I3" s="11" t="inlineStr">
        <is>
          <t>-</t>
        </is>
      </c>
      <c r="J3" s="11" t="inlineStr"/>
      <c r="K3" s="11" t="inlineStr">
        <is>
          <t>Super Admin, Master</t>
        </is>
      </c>
      <c r="L3" s="11" t="inlineStr"/>
      <c r="M3" s="11" t="inlineStr"/>
      <c r="N3" s="11" t="inlineStr">
        <is>
          <t>Released</t>
        </is>
      </c>
      <c r="O3" s="11" t="inlineStr"/>
      <c r="P3" s="11" t="inlineStr">
        <is>
          <t>Oct 3 | Released: live on the admin panel (main b37c27e, 2026-10-13); its database part is applied on production</t>
        </is>
      </c>
      <c r="Q3" s="11" t="inlineStr">
        <is>
          <t>Panel deploy</t>
        </is>
      </c>
      <c r="R3" s="11" t="inlineStr"/>
      <c r="S3" s="11" t="inlineStr">
        <is>
          <t>Status set to Released on 2026-10-14: the panel deploys from main, which now contains this change. Not yet verified by a person.</t>
        </is>
      </c>
    </row>
    <row r="4">
      <c r="A4" s="10" t="n">
        <v>3</v>
      </c>
      <c r="B4" s="10" t="inlineStr"/>
      <c r="C4" s="11" t="inlineStr">
        <is>
          <t>Owner</t>
        </is>
      </c>
      <c r="D4" s="11" t="inlineStr">
        <is>
          <t>Owner</t>
        </is>
      </c>
      <c r="E4" s="11" t="inlineStr">
        <is>
          <t>Levels</t>
        </is>
      </c>
      <c r="F4" s="10" t="inlineStr">
        <is>
          <t>Improvement</t>
        </is>
      </c>
      <c r="G4" s="10" t="inlineStr">
        <is>
          <t>Medium</t>
        </is>
      </c>
      <c r="H4" s="11" t="inlineStr">
        <is>
          <t>Wealth / Charm levels with XP and a join image, edited by Master.</t>
        </is>
      </c>
      <c r="I4" s="11" t="inlineStr">
        <is>
          <t>-</t>
        </is>
      </c>
      <c r="J4" s="11" t="inlineStr"/>
      <c r="K4" s="11" t="inlineStr">
        <is>
          <t>Master</t>
        </is>
      </c>
      <c r="L4" s="11" t="inlineStr"/>
      <c r="M4" s="11" t="inlineStr"/>
      <c r="N4" s="11" t="inlineStr">
        <is>
          <t>Released</t>
        </is>
      </c>
      <c r="O4" s="11" t="inlineStr"/>
      <c r="P4" s="11" t="inlineStr">
        <is>
          <t>Oct 4 sync batch | Released: live on the admin panel (main b37c27e, 2026-10-13); its database part is applied on production</t>
        </is>
      </c>
      <c r="Q4" s="11" t="inlineStr">
        <is>
          <t>Panel deploy</t>
        </is>
      </c>
      <c r="R4" s="11" t="inlineStr"/>
      <c r="S4" s="11" t="inlineStr">
        <is>
          <t>Status set to Released on 2026-10-14: the panel deploys from main, which now contains this change. Not yet verified by a person.</t>
        </is>
      </c>
    </row>
    <row r="5">
      <c r="A5" s="10" t="n">
        <v>4</v>
      </c>
      <c r="B5" s="10" t="inlineStr"/>
      <c r="C5" s="11" t="inlineStr">
        <is>
          <t>Owner</t>
        </is>
      </c>
      <c r="D5" s="11" t="inlineStr">
        <is>
          <t>Owner</t>
        </is>
      </c>
      <c r="E5" s="11" t="inlineStr">
        <is>
          <t>Coin sellers</t>
        </is>
      </c>
      <c r="F5" s="10" t="inlineStr">
        <is>
          <t>Improvement</t>
        </is>
      </c>
      <c r="G5" s="10" t="inlineStr">
        <is>
          <t>Medium</t>
        </is>
      </c>
      <c r="H5" s="11" t="inlineStr">
        <is>
          <t>Coin sellers are linked to real users and show their profile.</t>
        </is>
      </c>
      <c r="I5" s="11" t="inlineStr">
        <is>
          <t>-</t>
        </is>
      </c>
      <c r="J5" s="11" t="inlineStr"/>
      <c r="K5" s="11" t="inlineStr">
        <is>
          <t>Master</t>
        </is>
      </c>
      <c r="L5" s="11" t="inlineStr"/>
      <c r="M5" s="11" t="inlineStr"/>
      <c r="N5" s="11" t="inlineStr">
        <is>
          <t>Released</t>
        </is>
      </c>
      <c r="O5" s="11" t="inlineStr"/>
      <c r="P5" s="11" t="inlineStr">
        <is>
          <t>Oct 4 sync batch | Released: live on the admin panel (main b37c27e, 2026-10-13); its database part is applied on production</t>
        </is>
      </c>
      <c r="Q5" s="11" t="inlineStr">
        <is>
          <t>Panel deploy</t>
        </is>
      </c>
      <c r="R5" s="11" t="inlineStr"/>
      <c r="S5" s="11" t="inlineStr">
        <is>
          <t>Status set to Released on 2026-10-14: the panel deploys from main, which now contains this change. Not yet verified by a person.</t>
        </is>
      </c>
    </row>
    <row r="6">
      <c r="A6" s="10" t="n">
        <v>5</v>
      </c>
      <c r="B6" s="10" t="inlineStr"/>
      <c r="C6" s="11" t="inlineStr">
        <is>
          <t>Owner</t>
        </is>
      </c>
      <c r="D6" s="11" t="inlineStr">
        <is>
          <t>Owner</t>
        </is>
      </c>
      <c r="E6" s="11" t="inlineStr">
        <is>
          <t>Support chat</t>
        </is>
      </c>
      <c r="F6" s="10" t="inlineStr">
        <is>
          <t>Improvement</t>
        </is>
      </c>
      <c r="G6" s="10" t="inlineStr">
        <is>
          <t>Medium</t>
        </is>
      </c>
      <c r="H6" s="11" t="inlineStr">
        <is>
          <t>Two-way support chat for Master and Super Admin.</t>
        </is>
      </c>
      <c r="I6" s="11" t="inlineStr">
        <is>
          <t>-</t>
        </is>
      </c>
      <c r="J6" s="11" t="inlineStr"/>
      <c r="K6" s="11" t="inlineStr">
        <is>
          <t>Master, Super Admin</t>
        </is>
      </c>
      <c r="L6" s="11" t="inlineStr"/>
      <c r="M6" s="11" t="inlineStr"/>
      <c r="N6" s="11" t="inlineStr">
        <is>
          <t>Released</t>
        </is>
      </c>
      <c r="O6" s="11" t="inlineStr"/>
      <c r="P6" s="11" t="inlineStr">
        <is>
          <t>Oct 4 sync batch | Released: live on the admin panel (main b37c27e, 2026-10-13); its database part is applied on production</t>
        </is>
      </c>
      <c r="Q6" s="11" t="inlineStr">
        <is>
          <t>Panel deploy</t>
        </is>
      </c>
      <c r="R6" s="11" t="inlineStr"/>
      <c r="S6" s="11" t="inlineStr">
        <is>
          <t>Status set to Released on 2026-10-14: the panel deploys from main, which now contains this change. Not yet verified by a person.</t>
        </is>
      </c>
    </row>
    <row r="7">
      <c r="A7" s="10" t="n">
        <v>6</v>
      </c>
      <c r="B7" s="10" t="inlineStr"/>
      <c r="C7" s="11" t="inlineStr">
        <is>
          <t>Owner</t>
        </is>
      </c>
      <c r="D7" s="11" t="inlineStr">
        <is>
          <t>Owner</t>
        </is>
      </c>
      <c r="E7" s="11" t="inlineStr">
        <is>
          <t>Lucky IDs</t>
        </is>
      </c>
      <c r="F7" s="10" t="inlineStr">
        <is>
          <t>Improvement</t>
        </is>
      </c>
      <c r="G7" s="10" t="inlineStr">
        <is>
          <t>Medium</t>
        </is>
      </c>
      <c r="H7" s="11" t="inlineStr">
        <is>
          <t>Lucky ID catalogue. Leading zeros allowed (0786); the app shows the padded ID.</t>
        </is>
      </c>
      <c r="I7" s="11" t="inlineStr">
        <is>
          <t>-</t>
        </is>
      </c>
      <c r="J7" s="11" t="inlineStr"/>
      <c r="K7" s="11" t="inlineStr">
        <is>
          <t>Master</t>
        </is>
      </c>
      <c r="L7" s="11" t="inlineStr"/>
      <c r="M7" s="11" t="inlineStr"/>
      <c r="N7" s="11" t="inlineStr">
        <is>
          <t>Released</t>
        </is>
      </c>
      <c r="O7" s="11" t="inlineStr"/>
      <c r="P7" s="11" t="inlineStr">
        <is>
          <t>416ac77 / migration 20261005090000 | Released: live on the admin panel (main b37c27e, 2026-10-13); its database part is applied on production</t>
        </is>
      </c>
      <c r="Q7" s="11" t="inlineStr">
        <is>
          <t>Database migration</t>
        </is>
      </c>
      <c r="R7" s="11" t="inlineStr"/>
      <c r="S7" s="11" t="inlineStr">
        <is>
          <t>Migration already applied by hand before the push; now recorded. | Status set to Released on 2026-10-14: the panel deploys from main, which now contains this change. Not yet verified by a person.</t>
        </is>
      </c>
    </row>
    <row r="8">
      <c r="A8" s="10" t="n">
        <v>7</v>
      </c>
      <c r="B8" s="10" t="inlineStr"/>
      <c r="C8" s="11" t="inlineStr">
        <is>
          <t>Owner</t>
        </is>
      </c>
      <c r="D8" s="11" t="inlineStr">
        <is>
          <t>Owner</t>
        </is>
      </c>
      <c r="E8" s="11" t="inlineStr">
        <is>
          <t>Users &gt; Bag / Edit profile</t>
        </is>
      </c>
      <c r="F8" s="10" t="inlineStr">
        <is>
          <t>Improvement</t>
        </is>
      </c>
      <c r="G8" s="10" t="inlineStr">
        <is>
          <t>Medium</t>
        </is>
      </c>
      <c r="H8" s="11" t="inlineStr">
        <is>
          <t>Assign entry effect, vehicle, frame, room skin, badge or Lucky ID; edit a user's profile.</t>
        </is>
      </c>
      <c r="I8" s="11" t="inlineStr">
        <is>
          <t>-</t>
        </is>
      </c>
      <c r="J8" s="11" t="inlineStr"/>
      <c r="K8" s="11" t="inlineStr">
        <is>
          <t>Master</t>
        </is>
      </c>
      <c r="L8" s="11" t="inlineStr"/>
      <c r="M8" s="11" t="inlineStr"/>
      <c r="N8" s="11" t="inlineStr">
        <is>
          <t>Released</t>
        </is>
      </c>
      <c r="O8" s="11" t="inlineStr"/>
      <c r="P8" s="11" t="inlineStr">
        <is>
          <t>Oct 4 sync batch | Released: live on the admin panel (main b37c27e, 2026-10-13); its database part is applied on production</t>
        </is>
      </c>
      <c r="Q8" s="11" t="inlineStr">
        <is>
          <t>Panel deploy</t>
        </is>
      </c>
      <c r="R8" s="11" t="inlineStr"/>
      <c r="S8" s="11" t="inlineStr">
        <is>
          <t>Status set to Released on 2026-10-14: the panel deploys from main, which now contains this change. Not yet verified by a person.</t>
        </is>
      </c>
    </row>
    <row r="9">
      <c r="A9" s="10" t="n">
        <v>8</v>
      </c>
      <c r="B9" s="10" t="inlineStr"/>
      <c r="C9" s="11" t="inlineStr">
        <is>
          <t>Owner</t>
        </is>
      </c>
      <c r="D9" s="11" t="inlineStr">
        <is>
          <t>Owner</t>
        </is>
      </c>
      <c r="E9" s="11" t="inlineStr">
        <is>
          <t>Staff seats</t>
        </is>
      </c>
      <c r="F9" s="10" t="inlineStr">
        <is>
          <t>Improvement</t>
        </is>
      </c>
      <c r="G9" s="10" t="inlineStr">
        <is>
          <t>Medium</t>
        </is>
      </c>
      <c r="H9" s="11" t="inlineStr">
        <is>
          <t>Master hands a staff seat (with everything it owns) to another user.</t>
        </is>
      </c>
      <c r="I9" s="11" t="inlineStr">
        <is>
          <t>-</t>
        </is>
      </c>
      <c r="J9" s="11" t="inlineStr"/>
      <c r="K9" s="11" t="inlineStr">
        <is>
          <t>Master</t>
        </is>
      </c>
      <c r="L9" s="11" t="inlineStr"/>
      <c r="M9" s="11" t="inlineStr"/>
      <c r="N9" s="11" t="inlineStr">
        <is>
          <t>Released</t>
        </is>
      </c>
      <c r="O9" s="11" t="inlineStr"/>
      <c r="P9" s="11" t="inlineStr">
        <is>
          <t>Oct 4 sync batch | Released: live on the admin panel (main b37c27e, 2026-10-13); its database part is applied on production</t>
        </is>
      </c>
      <c r="Q9" s="11" t="inlineStr">
        <is>
          <t>Database migration</t>
        </is>
      </c>
      <c r="R9" s="11" t="inlineStr"/>
      <c r="S9" s="11" t="inlineStr">
        <is>
          <t>Status set to Released on 2026-10-14: the panel deploys from main, which now contains this change. Not yet verified by a person.</t>
        </is>
      </c>
    </row>
    <row r="10">
      <c r="A10" s="10" t="n">
        <v>9</v>
      </c>
      <c r="B10" s="10" t="inlineStr">
        <is>
          <t>2026-10-05</t>
        </is>
      </c>
      <c r="C10" s="11" t="inlineStr">
        <is>
          <t>Owner</t>
        </is>
      </c>
      <c r="D10" s="11" t="inlineStr">
        <is>
          <t>Owner</t>
        </is>
      </c>
      <c r="E10" s="11" t="inlineStr">
        <is>
          <t>Revoked Users</t>
        </is>
      </c>
      <c r="F10" s="10" t="inlineStr">
        <is>
          <t>Bug</t>
        </is>
      </c>
      <c r="G10" s="10" t="inlineStr">
        <is>
          <t>Medium</t>
        </is>
      </c>
      <c r="H10" s="11" t="inlineStr">
        <is>
          <t>Lift revoke restores the account instantly; Super Admin and Master may lift any revoke, including agency-manager revokes.</t>
        </is>
      </c>
      <c r="I10" s="11" t="inlineStr">
        <is>
          <t>Revoked Users &gt; Lift revoke</t>
        </is>
      </c>
      <c r="J10" s="11" t="inlineStr"/>
      <c r="K10" s="11" t="inlineStr">
        <is>
          <t>Super Admin, Master</t>
        </is>
      </c>
      <c r="L10" s="11" t="inlineStr"/>
      <c r="M10" s="11" t="inlineStr"/>
      <c r="N10" s="11" t="inlineStr">
        <is>
          <t>Released</t>
        </is>
      </c>
      <c r="O10" s="11" t="inlineStr"/>
      <c r="P10" s="11" t="inlineStr">
        <is>
          <t>7bdd076, 4ef891c, f213e62; migrations 20261005120000 and 140000 | Released: live on the admin panel (main b37c27e, 2026-10-13); its database part is applied on production</t>
        </is>
      </c>
      <c r="Q10" s="11" t="inlineStr">
        <is>
          <t>Database migration</t>
        </is>
      </c>
      <c r="R10" s="11" t="inlineStr"/>
      <c r="S10" s="11" t="inlineStr">
        <is>
          <t>Migrations recorded in prod on 2026-10-06. | Status set to Released on 2026-10-14: the panel deploys from main, which now contains this change. Not yet verified by a person.</t>
        </is>
      </c>
    </row>
    <row r="11">
      <c r="A11" s="10" t="n">
        <v>10</v>
      </c>
      <c r="B11" s="10" t="inlineStr">
        <is>
          <t>2026-10-05</t>
        </is>
      </c>
      <c r="C11" s="11" t="inlineStr">
        <is>
          <t>Owner</t>
        </is>
      </c>
      <c r="D11" s="11" t="inlineStr">
        <is>
          <t>Owner</t>
        </is>
      </c>
      <c r="E11" s="11" t="inlineStr">
        <is>
          <t>Staff creation</t>
        </is>
      </c>
      <c r="F11" s="10" t="inlineStr">
        <is>
          <t>Improvement</t>
        </is>
      </c>
      <c r="G11" s="10" t="inlineStr">
        <is>
          <t>Medium</t>
        </is>
      </c>
      <c r="H11" s="11" t="inlineStr">
        <is>
          <t>Super Admin may create an agency manager login.</t>
        </is>
      </c>
      <c r="I11" s="11" t="inlineStr">
        <is>
          <t>Edit Agency &gt; assign manager</t>
        </is>
      </c>
      <c r="J11" s="11" t="inlineStr"/>
      <c r="K11" s="11" t="inlineStr">
        <is>
          <t>Super Admin</t>
        </is>
      </c>
      <c r="L11" s="11" t="inlineStr"/>
      <c r="M11" s="11" t="inlineStr"/>
      <c r="N11" s="11" t="inlineStr">
        <is>
          <t>Released</t>
        </is>
      </c>
      <c r="O11" s="11" t="inlineStr"/>
      <c r="P11" s="11" t="inlineStr">
        <is>
          <t>e74cc9e; migration 20261005160000 | Released: live on the admin panel (main b37c27e, 2026-10-13); its database part is applied on production</t>
        </is>
      </c>
      <c r="Q11" s="11" t="inlineStr">
        <is>
          <t>Database migration</t>
        </is>
      </c>
      <c r="R11" s="11" t="inlineStr"/>
      <c r="S11" s="11" t="inlineStr">
        <is>
          <t>Status set to Released on 2026-10-14: the panel deploys from main, which now contains this change. Not yet verified by a person.</t>
        </is>
      </c>
    </row>
    <row r="12">
      <c r="A12" s="10" t="n">
        <v>11</v>
      </c>
      <c r="B12" s="10" t="inlineStr">
        <is>
          <t>2026-10-05</t>
        </is>
      </c>
      <c r="C12" s="11" t="inlineStr">
        <is>
          <t>Owner</t>
        </is>
      </c>
      <c r="D12" s="11" t="inlineStr">
        <is>
          <t>Owner</t>
        </is>
      </c>
      <c r="E12" s="11" t="inlineStr">
        <is>
          <t>Edit Agency</t>
        </is>
      </c>
      <c r="F12" s="10" t="inlineStr">
        <is>
          <t>Bug</t>
        </is>
      </c>
      <c r="G12" s="10" t="inlineStr">
        <is>
          <t>Low</t>
        </is>
      </c>
      <c r="H12" s="11" t="inlineStr">
        <is>
          <t>Browser autofill filled manager email/password when assigning a new manager. FIX: ignore autofilled fields when no email; stop password autofill; do not update the manager login.</t>
        </is>
      </c>
      <c r="I12" s="11" t="inlineStr">
        <is>
          <t>Edit Agency</t>
        </is>
      </c>
      <c r="J12" s="11" t="inlineStr"/>
      <c r="K12" s="11" t="inlineStr">
        <is>
          <t>Super Admin</t>
        </is>
      </c>
      <c r="L12" s="11" t="inlineStr"/>
      <c r="M12" s="11" t="inlineStr"/>
      <c r="N12" s="11" t="inlineStr">
        <is>
          <t>Released</t>
        </is>
      </c>
      <c r="O12" s="11" t="inlineStr"/>
      <c r="P12" s="11" t="inlineStr">
        <is>
          <t>05062b8, a4f31c3 | Released: live on the admin panel (main b37c27e, 2026-10-13); its database part is applied on production</t>
        </is>
      </c>
      <c r="Q12" s="11" t="inlineStr">
        <is>
          <t>Panel deploy</t>
        </is>
      </c>
      <c r="R12" s="11" t="inlineStr"/>
      <c r="S12" s="11" t="inlineStr">
        <is>
          <t>Status set to Released on 2026-10-14: the panel deploys from main, which now contains this change. Not yet verified by a person.</t>
        </is>
      </c>
    </row>
    <row r="13">
      <c r="A13" s="10" t="n">
        <v>12</v>
      </c>
      <c r="B13" s="10" t="inlineStr">
        <is>
          <t>2026-10-05</t>
        </is>
      </c>
      <c r="C13" s="11" t="inlineStr">
        <is>
          <t>Owner</t>
        </is>
      </c>
      <c r="D13" s="11" t="inlineStr">
        <is>
          <t>Owner</t>
        </is>
      </c>
      <c r="E13" s="11" t="inlineStr">
        <is>
          <t>Restrict dialog</t>
        </is>
      </c>
      <c r="F13" s="10" t="inlineStr">
        <is>
          <t>Bug</t>
        </is>
      </c>
      <c r="G13" s="10" t="inlineStr">
        <is>
          <t>Low</t>
        </is>
      </c>
      <c r="H13" s="11" t="inlineStr">
        <is>
          <t>Say when a user has no active bans; show load errors.</t>
        </is>
      </c>
      <c r="I13" s="11" t="inlineStr">
        <is>
          <t>Users &gt; Restrict</t>
        </is>
      </c>
      <c r="J13" s="11" t="inlineStr"/>
      <c r="K13" s="11" t="inlineStr">
        <is>
          <t>Master</t>
        </is>
      </c>
      <c r="L13" s="11" t="inlineStr"/>
      <c r="M13" s="11" t="inlineStr"/>
      <c r="N13" s="11" t="inlineStr">
        <is>
          <t>Released</t>
        </is>
      </c>
      <c r="O13" s="11" t="inlineStr"/>
      <c r="P13" s="11" t="inlineStr">
        <is>
          <t>0c78788 | Released: live on the admin panel (main b37c27e, 2026-10-13); its database part is applied on production</t>
        </is>
      </c>
      <c r="Q13" s="11" t="inlineStr">
        <is>
          <t>Panel deploy</t>
        </is>
      </c>
      <c r="R13" s="11" t="inlineStr"/>
      <c r="S13" s="11" t="inlineStr">
        <is>
          <t>Status set to Released on 2026-10-14: the panel deploys from main, which now contains this change. Not yet verified by a person.</t>
        </is>
      </c>
    </row>
    <row r="14">
      <c r="A14" s="10" t="n">
        <v>13</v>
      </c>
      <c r="B14" s="10" t="inlineStr">
        <is>
          <t>2026-10-05</t>
        </is>
      </c>
      <c r="C14" s="11" t="inlineStr">
        <is>
          <t>Owner</t>
        </is>
      </c>
      <c r="D14" s="11" t="inlineStr">
        <is>
          <t>Owner</t>
        </is>
      </c>
      <c r="E14" s="11" t="inlineStr">
        <is>
          <t>Top bar</t>
        </is>
      </c>
      <c r="F14" s="10" t="inlineStr">
        <is>
          <t>Bug</t>
        </is>
      </c>
      <c r="G14" s="10" t="inlineStr">
        <is>
          <t>Medium</t>
        </is>
      </c>
      <c r="H14" s="11" t="inlineStr">
        <is>
          <t>Super Admin saw a meaningless 0 wallet. FIX: shows the treasury; minters see what they can distribute.</t>
        </is>
      </c>
      <c r="I14" s="11" t="inlineStr">
        <is>
          <t>Open the panel as Super Admin</t>
        </is>
      </c>
      <c r="J14" s="11" t="inlineStr"/>
      <c r="K14" s="11" t="inlineStr">
        <is>
          <t>Super Admin</t>
        </is>
      </c>
      <c r="L14" s="11" t="inlineStr"/>
      <c r="M14" s="11" t="inlineStr"/>
      <c r="N14" s="11" t="inlineStr">
        <is>
          <t>Released</t>
        </is>
      </c>
      <c r="O14" s="11" t="inlineStr"/>
      <c r="P14" s="11" t="inlineStr">
        <is>
          <t>cf4d71e | Released: live on the admin panel (main b37c27e, 2026-10-13); its database part is applied on production</t>
        </is>
      </c>
      <c r="Q14" s="11" t="inlineStr">
        <is>
          <t>Panel deploy</t>
        </is>
      </c>
      <c r="R14" s="11" t="inlineStr"/>
      <c r="S14" s="11" t="inlineStr">
        <is>
          <t>Status set to Released on 2026-10-14: the panel deploys from main, which now contains this change. Not yet verified by a person.</t>
        </is>
      </c>
    </row>
    <row r="15">
      <c r="A15" s="10" t="n">
        <v>14</v>
      </c>
      <c r="B15" s="10" t="inlineStr">
        <is>
          <t>2026-10-05</t>
        </is>
      </c>
      <c r="C15" s="11" t="inlineStr">
        <is>
          <t>Owner</t>
        </is>
      </c>
      <c r="D15" s="11" t="inlineStr">
        <is>
          <t>Owner</t>
        </is>
      </c>
      <c r="E15" s="11" t="inlineStr">
        <is>
          <t>Agency / Sub / Country panels</t>
        </is>
      </c>
      <c r="F15" s="10" t="inlineStr">
        <is>
          <t>Bug</t>
        </is>
      </c>
      <c r="G15" s="10" t="inlineStr">
        <is>
          <t>High</t>
        </is>
      </c>
      <c r="H15" s="11" t="inlineStr">
        <is>
          <t>Hosts' coins and diamonds showed as 0 for roles that could not read the wallets. FIX: a staff member can read the wallet of a host in an agency they manage; User Management gets a Diamonds column; a wallet a role can't read shows a dash, not a false 0.</t>
        </is>
      </c>
      <c r="I15" s="11" t="inlineStr">
        <is>
          <t>Open host lists as an Agency/Sub/Country admin</t>
        </is>
      </c>
      <c r="J15" s="11" t="inlineStr"/>
      <c r="K15" s="11" t="inlineStr">
        <is>
          <t>Agency, Sub, Country</t>
        </is>
      </c>
      <c r="L15" s="11" t="inlineStr"/>
      <c r="M15" s="11" t="inlineStr"/>
      <c r="N15" s="11" t="inlineStr">
        <is>
          <t>Released</t>
        </is>
      </c>
      <c r="O15" s="11" t="inlineStr"/>
      <c r="P15" s="11" t="inlineStr">
        <is>
          <t>15be4f6; migration 20261005200000 | Released: live on the admin panel (main b37c27e, 2026-10-13); its database part is applied on production</t>
        </is>
      </c>
      <c r="Q15" s="11" t="inlineStr">
        <is>
          <t>Database migration</t>
        </is>
      </c>
      <c r="R15" s="11" t="inlineStr"/>
      <c r="S15" s="11" t="inlineStr">
        <is>
          <t>Policy already existed in prod before the push. | Status set to Released on 2026-10-14: the panel deploys from main, which now contains this change. Not yet verified by a person.</t>
        </is>
      </c>
    </row>
    <row r="16">
      <c r="A16" s="10" t="n">
        <v>15</v>
      </c>
      <c r="B16" s="10" t="inlineStr">
        <is>
          <t>2026-10-05</t>
        </is>
      </c>
      <c r="C16" s="11" t="inlineStr">
        <is>
          <t>Investigation</t>
        </is>
      </c>
      <c r="D16" s="11" t="inlineStr">
        <is>
          <t>Investigation</t>
        </is>
      </c>
      <c r="E16" s="11" t="inlineStr">
        <is>
          <t>Maintenance</t>
        </is>
      </c>
      <c r="F16" s="10" t="inlineStr">
        <is>
          <t>Improvement</t>
        </is>
      </c>
      <c r="G16" s="10" t="inlineStr">
        <is>
          <t>Medium</t>
        </is>
      </c>
      <c r="H16" s="11" t="inlineStr">
        <is>
          <t>When the maintenance window passes and auto-end is off, maintenance stays on silently. Proposal: show a warning on the Maintenance page and a one-click End now.</t>
        </is>
      </c>
      <c r="I16" s="11" t="inlineStr">
        <is>
          <t>Start maintenance with auto-end off</t>
        </is>
      </c>
      <c r="J16" s="11" t="inlineStr">
        <is>
          <t>Expected: a reminder. Actual: stays locked after the window.</t>
        </is>
      </c>
      <c r="K16" s="11" t="inlineStr">
        <is>
          <t>Super Admin</t>
        </is>
      </c>
      <c r="L16" s="11" t="inlineStr"/>
      <c r="M16" s="11" t="inlineStr"/>
      <c r="N16" s="11" t="inlineStr">
        <is>
          <t>New</t>
        </is>
      </c>
      <c r="O16" s="11" t="inlineStr"/>
      <c r="P16" s="11" t="inlineStr"/>
      <c r="Q16" s="11" t="inlineStr">
        <is>
          <t>Panel deploy</t>
        </is>
      </c>
      <c r="R16" s="11" t="inlineStr"/>
      <c r="S16" s="11" t="inlineStr">
        <is>
          <t>Seen on 2026-10-05: window ended 19:49 UTC, app stayed locked.</t>
        </is>
      </c>
    </row>
    <row r="17">
      <c r="A17" s="10" t="n">
        <v>16</v>
      </c>
      <c r="B17" s="10" t="inlineStr">
        <is>
          <t>2026-10-05</t>
        </is>
      </c>
      <c r="C17" s="11" t="inlineStr">
        <is>
          <t>Investigation</t>
        </is>
      </c>
      <c r="D17" s="11" t="inlineStr">
        <is>
          <t>Investigation</t>
        </is>
      </c>
      <c r="E17" s="11" t="inlineStr">
        <is>
          <t>Maintenance</t>
        </is>
      </c>
      <c r="F17" s="10" t="inlineStr">
        <is>
          <t>Improvement</t>
        </is>
      </c>
      <c r="G17" s="10" t="inlineStr">
        <is>
          <t>Medium</t>
        </is>
      </c>
      <c r="H17" s="11" t="inlineStr">
        <is>
          <t>'Log out all users' signed out 126 sessions during the incident and caused a login wave. Proposal: clearer confirmation with the number of sessions it will end.</t>
        </is>
      </c>
      <c r="I17" s="11" t="inlineStr">
        <is>
          <t>Maintenance &gt; Log out all</t>
        </is>
      </c>
      <c r="J17" s="11" t="inlineStr"/>
      <c r="K17" s="11" t="inlineStr">
        <is>
          <t>Super Admin</t>
        </is>
      </c>
      <c r="L17" s="11" t="inlineStr"/>
      <c r="M17" s="11" t="inlineStr"/>
      <c r="N17" s="11" t="inlineStr">
        <is>
          <t>New</t>
        </is>
      </c>
      <c r="O17" s="11" t="inlineStr"/>
      <c r="P17" s="11" t="inlineStr"/>
      <c r="Q17" s="11" t="inlineStr">
        <is>
          <t>Panel deploy</t>
        </is>
      </c>
      <c r="R17" s="11" t="inlineStr"/>
      <c r="S17" s="11" t="inlineStr"/>
    </row>
    <row r="18">
      <c r="A18" s="10" t="n">
        <v>17</v>
      </c>
      <c r="B18" s="10" t="inlineStr"/>
      <c r="C18" s="11" t="inlineStr">
        <is>
          <t>Investigation</t>
        </is>
      </c>
      <c r="D18" s="11" t="inlineStr">
        <is>
          <t>Investigation</t>
        </is>
      </c>
      <c r="E18" s="11" t="inlineStr">
        <is>
          <t>App release settings (new)</t>
        </is>
      </c>
      <c r="F18" s="10" t="inlineStr">
        <is>
          <t>Improvement</t>
        </is>
      </c>
      <c r="G18" s="10" t="inlineStr">
        <is>
          <t>High</t>
        </is>
      </c>
      <c r="H18" s="11" t="inlineStr">
        <is>
          <t>New Super Admin page for the minimum app version, update message and server-side feature switches.</t>
        </is>
      </c>
      <c r="I18" s="11" t="inlineStr">
        <is>
          <t>-</t>
        </is>
      </c>
      <c r="J18" s="11" t="inlineStr"/>
      <c r="K18" s="11" t="inlineStr">
        <is>
          <t>Super Admin</t>
        </is>
      </c>
      <c r="L18" s="11" t="inlineStr"/>
      <c r="M18" s="11" t="inlineStr"/>
      <c r="N18" s="11" t="inlineStr">
        <is>
          <t>In progress</t>
        </is>
      </c>
      <c r="O18" s="11" t="inlineStr"/>
      <c r="P18" s="11" t="inlineStr"/>
      <c r="Q18" s="11" t="inlineStr">
        <is>
          <t>Panel deploy</t>
        </is>
      </c>
      <c r="R18" s="11" t="inlineStr"/>
      <c r="S18" s="11" t="inlineStr">
        <is>
          <t>Part of the production-safety work. | The Release controls page is live and in use: Games and screen-protection switches saved on 2026-10-13 (audit app_release.changed).</t>
        </is>
      </c>
    </row>
    <row r="19">
      <c r="A19" s="10" t="inlineStr">
        <is>
          <t>18</t>
        </is>
      </c>
      <c r="B19" s="10" t="inlineStr">
        <is>
          <t>2026-10-13</t>
        </is>
      </c>
      <c r="C19" s="11" t="inlineStr">
        <is>
          <t>Owner</t>
        </is>
      </c>
      <c r="D19" s="11" t="inlineStr">
        <is>
          <t>Owner</t>
        </is>
      </c>
      <c r="E19" s="11" t="inlineStr">
        <is>
          <t>Games (Admin and above)</t>
        </is>
      </c>
      <c r="F19" s="10" t="inlineStr">
        <is>
          <t>Improvement</t>
        </is>
      </c>
      <c r="G19" s="10" t="inlineStr">
        <is>
          <t>High</t>
        </is>
      </c>
      <c r="H19" s="11" t="inlineStr">
        <is>
          <t>Games page: the limits the server enforces (largest bet, daily loss and win, payout multiple, launch lifetime, minimum age), the games received from Tulasi with 'In the app' and 'In Tulasi' status, Hide or Show per game and Show all / Hide all (a Sync never undoes a hide), 14-day totals, two watch reports (winners who then gift, hosts receiving from winners) and every balance call.</t>
        </is>
      </c>
      <c r="I19" s="11" t="inlineStr">
        <is>
          <t>-</t>
        </is>
      </c>
      <c r="J19" s="11" t="n"/>
      <c r="K19" s="11" t="inlineStr">
        <is>
          <t>Super Admin, Master</t>
        </is>
      </c>
      <c r="L19" s="11" t="n"/>
      <c r="M19" s="11" t="n"/>
      <c r="N19" s="11" t="inlineStr">
        <is>
          <t>Released</t>
        </is>
      </c>
      <c r="O19" s="11" t="n"/>
      <c r="P19" s="11" t="inlineStr">
        <is>
          <t>panel main b37c27e; migrations 20261013100000 to 20261013140000</t>
        </is>
      </c>
      <c r="Q19" s="11" t="inlineStr">
        <is>
          <t>Panel deploy, Database migration</t>
        </is>
      </c>
      <c r="R19" s="11" t="inlineStr">
        <is>
          <t>Owner changed the Games switch from the panel 2026-10-13; the Hide / Show buttons were not yet used on production (Claude applied the same change by SQL)</t>
        </is>
      </c>
      <c r="S19" s="11" t="inlineStr">
        <is>
          <t>Limits: left at the defaults by the owner's decision on 2026-10-14.</t>
        </is>
      </c>
    </row>
    <row r="20">
      <c r="A20" s="10" t="inlineStr">
        <is>
          <t>19</t>
        </is>
      </c>
      <c r="B20" s="10" t="inlineStr">
        <is>
          <t>2026-10-13</t>
        </is>
      </c>
      <c r="C20" s="11" t="inlineStr">
        <is>
          <t>Owner</t>
        </is>
      </c>
      <c r="D20" s="11" t="inlineStr">
        <is>
          <t>Owner</t>
        </is>
      </c>
      <c r="E20" s="11" t="inlineStr">
        <is>
          <t>Application Config &gt; Release controls</t>
        </is>
      </c>
      <c r="F20" s="10" t="inlineStr">
        <is>
          <t>Improvement</t>
        </is>
      </c>
      <c r="G20" s="10" t="inlineStr">
        <is>
          <t>Medium</t>
        </is>
      </c>
      <c r="H20" s="11" t="inlineStr">
        <is>
          <t>Release switches 'Games' and 'Block screenshots and screen recording' (feature flags the apps read; both default off).</t>
        </is>
      </c>
      <c r="I20" s="11" t="inlineStr">
        <is>
          <t>-</t>
        </is>
      </c>
      <c r="J20" s="11" t="n"/>
      <c r="K20" s="11" t="inlineStr">
        <is>
          <t>Super Admin</t>
        </is>
      </c>
      <c r="L20" s="11" t="n"/>
      <c r="M20" s="11" t="n"/>
      <c r="N20" s="11" t="inlineStr">
        <is>
          <t>Verified</t>
        </is>
      </c>
      <c r="O20" s="11" t="n"/>
      <c r="P20" s="11" t="inlineStr">
        <is>
          <t>panel part 1 (5e15bf4) and part 2 (b37c27e)</t>
        </is>
      </c>
      <c r="Q20" s="11" t="inlineStr">
        <is>
          <t>Panel deploy</t>
        </is>
      </c>
      <c r="R20" s="11" t="inlineStr">
        <is>
          <t>Owner 2026-10-13 (audit log app_release.changed at 13:30:24 on, 13:54:47 off, 14:01:10 on) and Claude (23 players launched games after the switch)</t>
        </is>
      </c>
      <c r="S20" s="11" t="inlineStr">
        <is>
          <t>-</t>
        </is>
      </c>
    </row>
    <row r="21">
      <c r="A21" s="10" t="inlineStr">
        <is>
          <t>20</t>
        </is>
      </c>
      <c r="B21" s="10" t="inlineStr">
        <is>
          <t>2026-10-13</t>
        </is>
      </c>
      <c r="C21" s="11" t="inlineStr">
        <is>
          <t>Owner</t>
        </is>
      </c>
      <c r="D21" s="11" t="inlineStr">
        <is>
          <t>Owner</t>
        </is>
      </c>
      <c r="E21" s="11" t="inlineStr">
        <is>
          <t>Content / Emotes &amp; GIFs, Application Config, landing site</t>
        </is>
      </c>
      <c r="F21" s="10" t="inlineStr">
        <is>
          <t>Improvement</t>
        </is>
      </c>
      <c r="G21" s="10" t="inlineStr">
        <is>
          <t>Low</t>
        </is>
      </c>
      <c r="H21" s="11" t="inlineStr">
        <is>
          <t>Panel release part 1: the Emoji pages are now Emotes &amp; GIFs, a live branding preview in Application Config, and the landing site reads its project from the environment (production by default).</t>
        </is>
      </c>
      <c r="I21" s="11" t="inlineStr">
        <is>
          <t>-</t>
        </is>
      </c>
      <c r="J21" s="11" t="n"/>
      <c r="K21" s="11" t="inlineStr">
        <is>
          <t>Super Admin, Master</t>
        </is>
      </c>
      <c r="L21" s="11" t="n"/>
      <c r="M21" s="11" t="n"/>
      <c r="N21" s="11" t="inlineStr">
        <is>
          <t>Released</t>
        </is>
      </c>
      <c r="O21" s="11" t="n"/>
      <c r="P21" s="11" t="inlineStr">
        <is>
          <t>panel main 5e15bf4 (2026-10-13)</t>
        </is>
      </c>
      <c r="Q21" s="11" t="inlineStr">
        <is>
          <t>Panel deploy</t>
        </is>
      </c>
      <c r="R21" s="11" t="inlineStr">
        <is>
          <t>-</t>
        </is>
      </c>
      <c r="S21" s="11" t="inlineStr">
        <is>
          <t>Checked on the live bundle: new text present, none of the part-2 names.</t>
        </is>
      </c>
    </row>
    <row r="22">
      <c r="A22" s="10" t="inlineStr">
        <is>
          <t>21</t>
        </is>
      </c>
      <c r="B22" s="10" t="inlineStr">
        <is>
          <t>2026-10-13</t>
        </is>
      </c>
      <c r="C22" s="11" t="inlineStr">
        <is>
          <t>Owner</t>
        </is>
      </c>
      <c r="D22" s="11" t="inlineStr">
        <is>
          <t>Owner</t>
        </is>
      </c>
      <c r="E22" s="11" t="inlineStr">
        <is>
          <t>Store / Coins / Lucky Box</t>
        </is>
      </c>
      <c r="F22" s="10" t="inlineStr">
        <is>
          <t>Improvement</t>
        </is>
      </c>
      <c r="G22" s="10" t="inlineStr">
        <is>
          <t>Medium</t>
        </is>
      </c>
      <c r="H22" s="11" t="inlineStr">
        <is>
          <t>Panel release part 2: effect play speed and sound fields on entry effects, vehicles and gifts; Lucky Box cooldown (hours) field.</t>
        </is>
      </c>
      <c r="I22" s="11" t="inlineStr">
        <is>
          <t>-</t>
        </is>
      </c>
      <c r="J22" s="11" t="n"/>
      <c r="K22" s="11" t="inlineStr">
        <is>
          <t>Master</t>
        </is>
      </c>
      <c r="L22" s="11" t="n"/>
      <c r="M22" s="11" t="n"/>
      <c r="N22" s="11" t="inlineStr">
        <is>
          <t>Released</t>
        </is>
      </c>
      <c r="O22" s="11" t="n"/>
      <c r="P22" s="11" t="inlineStr">
        <is>
          <t>panel main b37c27e; migrations 20261009120000, 20261010090000</t>
        </is>
      </c>
      <c r="Q22" s="11" t="inlineStr">
        <is>
          <t>Panel deploy, Database migration</t>
        </is>
      </c>
      <c r="R22" s="11" t="inlineStr">
        <is>
          <t>-</t>
        </is>
      </c>
      <c r="S22" s="11" t="inlineStr">
        <is>
          <t>Applied on production 2026-10-13.</t>
        </is>
      </c>
    </row>
    <row r="23">
      <c r="A23" s="10" t="inlineStr">
        <is>
          <t>22</t>
        </is>
      </c>
      <c r="B23" s="10" t="inlineStr">
        <is>
          <t>2026-10-13</t>
        </is>
      </c>
      <c r="C23" s="11" t="inlineStr">
        <is>
          <t>Investigation</t>
        </is>
      </c>
      <c r="D23" s="11" t="inlineStr">
        <is>
          <t>Investigation</t>
        </is>
      </c>
      <c r="E23" s="11" t="inlineStr">
        <is>
          <t>View user profile &gt; assign / remove</t>
        </is>
      </c>
      <c r="F23" s="10" t="inlineStr">
        <is>
          <t>Bug</t>
        </is>
      </c>
      <c r="G23" s="10" t="inlineStr">
        <is>
          <t>Medium</t>
        </is>
      </c>
      <c r="H23" s="11" t="inlineStr">
        <is>
          <t>The panel code for assign and remove on View user profile reached production on 2026-10-12, but its migration 20261012100000 did not, so removing a badge or frame would fail with 'function not found'. FIX: the migration was applied on 2026-10-13 07:19 UTC.</t>
        </is>
      </c>
      <c r="I23" s="11" t="inlineStr">
        <is>
          <t>-</t>
        </is>
      </c>
      <c r="J23" s="11" t="n"/>
      <c r="K23" s="11" t="inlineStr">
        <is>
          <t>Super Admin, Master</t>
        </is>
      </c>
      <c r="L23" s="11" t="n"/>
      <c r="M23" s="11" t="n"/>
      <c r="N23" s="11" t="inlineStr">
        <is>
          <t>Released</t>
        </is>
      </c>
      <c r="O23" s="11" t="n"/>
      <c r="P23" s="11" t="inlineStr">
        <is>
          <t>migration 20261012100000</t>
        </is>
      </c>
      <c r="Q23" s="11" t="inlineStr">
        <is>
          <t>Database migration</t>
        </is>
      </c>
      <c r="R23" s="11" t="inlineStr">
        <is>
          <t>-</t>
        </is>
      </c>
      <c r="S23" s="11" t="inlineStr">
        <is>
          <t>Found by Claude during the part-1 release check; staff-only.</t>
        </is>
      </c>
    </row>
    <row r="24">
      <c r="A24" s="10" t="inlineStr">
        <is>
          <t>23</t>
        </is>
      </c>
      <c r="B24" s="10" t="inlineStr">
        <is>
          <t>2026-10-11</t>
        </is>
      </c>
      <c r="C24" s="11" t="inlineStr">
        <is>
          <t>Owner</t>
        </is>
      </c>
      <c r="D24" s="11" t="inlineStr">
        <is>
          <t>Owner</t>
        </is>
      </c>
      <c r="E24" s="11" t="inlineStr">
        <is>
          <t>Top bar</t>
        </is>
      </c>
      <c r="F24" s="10" t="inlineStr">
        <is>
          <t>Improvement</t>
        </is>
      </c>
      <c r="G24" s="10" t="inlineStr">
        <is>
          <t>Medium</t>
        </is>
      </c>
      <c r="H24" s="11" t="inlineStr">
        <is>
          <t>Master and Super Admin can switch the panel between the production and staging projects (each keeps its own session; staging shows an orange strip).</t>
        </is>
      </c>
      <c r="I24" s="11" t="inlineStr">
        <is>
          <t>-</t>
        </is>
      </c>
      <c r="J24" s="11" t="n"/>
      <c r="K24" s="11" t="inlineStr">
        <is>
          <t>Super Admin, Master</t>
        </is>
      </c>
      <c r="L24" s="11" t="n"/>
      <c r="M24" s="11" t="n"/>
      <c r="N24" s="11" t="inlineStr">
        <is>
          <t>Released</t>
        </is>
      </c>
      <c r="O24" s="11" t="n"/>
      <c r="P24" s="11" t="inlineStr">
        <is>
          <t>panel main 2778960 (2026-10-11)</t>
        </is>
      </c>
      <c r="Q24" s="11" t="inlineStr">
        <is>
          <t>Panel deploy</t>
        </is>
      </c>
      <c r="R24" s="11" t="inlineStr">
        <is>
          <t>-</t>
        </is>
      </c>
      <c r="S24" s="11" t="inlineStr">
        <is>
          <t>Needs the two staging variables in Vercel (set).</t>
        </is>
      </c>
    </row>
  </sheetData>
  <autoFilter ref="A1:S24"/>
  <conditionalFormatting sqref="G2:G400">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N2:N400">
    <cfRule type="cellIs" priority="5" operator="equal" dxfId="4">
      <formula>"Fixed (in code)"</formula>
    </cfRule>
    <cfRule type="cellIs" priority="6" operator="equal" dxfId="4">
      <formula>"Released"</formula>
    </cfRule>
    <cfRule type="cellIs" priority="7" operator="equal" dxfId="4">
      <formula>"Verified"</formula>
    </cfRule>
    <cfRule type="cellIs" priority="8" operator="equal" dxfId="4">
      <formula>"Closed"</formula>
    </cfRule>
    <cfRule type="cellIs" priority="9" operator="equal" dxfId="5">
      <formula>"New"</formula>
    </cfRule>
    <cfRule type="cellIs" priority="10" operator="equal" dxfId="5">
      <formula>"Confirmed"</formula>
    </cfRule>
    <cfRule type="cellIs" priority="11" operator="equal" dxfId="5">
      <formula>"In progress"</formula>
    </cfRule>
    <cfRule type="cellIs" priority="12" operator="equal" dxfId="5">
      <formula>"Needs decision"</formula>
    </cfRule>
    <cfRule type="cellIs" priority="13" operator="equal" dxfId="3">
      <formula>"Can't reproduce"</formula>
    </cfRule>
    <cfRule type="cellIs" priority="14" operator="equal" dxfId="3">
      <formula>"Won't fix"</formula>
    </cfRule>
  </conditionalFormatting>
  <dataValidations count="5">
    <dataValidation sqref="D2:D400" showDropDown="0" showInputMessage="0" showErrorMessage="0" allowBlank="1" type="list">
      <formula1>=Lists!$E$2:$E$8</formula1>
    </dataValidation>
    <dataValidation sqref="F2:F400" showDropDown="0" showInputMessage="0" showErrorMessage="0" allowBlank="1" type="list">
      <formula1>=Lists!$A$2:$A$8</formula1>
    </dataValidation>
    <dataValidation sqref="G2:G400" showDropDown="0" showInputMessage="0" showErrorMessage="0" allowBlank="1" type="list">
      <formula1>=Lists!$B$2:$B$5</formula1>
    </dataValidation>
    <dataValidation sqref="N2:N400" showDropDown="0" showInputMessage="0" showErrorMessage="0" allowBlank="1" type="list">
      <formula1>=Lists!$C$2:$C$11</formula1>
    </dataValidation>
    <dataValidation sqref="Q2:Q400" showDropDown="0" showInputMessage="0" showErrorMessage="0" allowBlank="1" type="list">
      <formula1>=Lists!$D$2:$D$8</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s>
  <sheetData>
    <row r="1">
      <c r="A1" s="12" t="inlineStr">
        <is>
          <t>Type</t>
        </is>
      </c>
      <c r="B1" s="12" t="inlineStr">
        <is>
          <t>Severity</t>
        </is>
      </c>
      <c r="C1" s="12" t="inlineStr">
        <is>
          <t>Status</t>
        </is>
      </c>
      <c r="D1" s="12" t="inlineStr">
        <is>
          <t>Fix needs</t>
        </is>
      </c>
      <c r="E1" s="12" t="inlineStr">
        <is>
          <t>Source</t>
        </is>
      </c>
      <c r="G1" s="8" t="inlineStr">
        <is>
          <t>To change a dropdown, edit the list in its column. Keep each list contiguous (no blank cells in the middle).</t>
        </is>
      </c>
    </row>
    <row r="2">
      <c r="A2" s="13" t="inlineStr">
        <is>
          <t>Bug</t>
        </is>
      </c>
      <c r="B2" s="13" t="inlineStr">
        <is>
          <t>Critical</t>
        </is>
      </c>
      <c r="C2" s="13" t="inlineStr">
        <is>
          <t>New</t>
        </is>
      </c>
      <c r="D2" s="13" t="inlineStr">
        <is>
          <t>None</t>
        </is>
      </c>
      <c r="E2" s="13" t="inlineStr">
        <is>
          <t>Owner</t>
        </is>
      </c>
    </row>
    <row r="3">
      <c r="A3" s="13" t="inlineStr">
        <is>
          <t>Fix</t>
        </is>
      </c>
      <c r="B3" s="13" t="inlineStr">
        <is>
          <t>High</t>
        </is>
      </c>
      <c r="C3" s="13" t="inlineStr">
        <is>
          <t>Confirmed</t>
        </is>
      </c>
      <c r="D3" s="13" t="inlineStr">
        <is>
          <t>Database migration</t>
        </is>
      </c>
      <c r="E3" s="13" t="inlineStr">
        <is>
          <t>Play user</t>
        </is>
      </c>
    </row>
    <row r="4">
      <c r="A4" s="13" t="inlineStr">
        <is>
          <t>Improvement</t>
        </is>
      </c>
      <c r="B4" s="13" t="inlineStr">
        <is>
          <t>Medium</t>
        </is>
      </c>
      <c r="C4" s="13" t="inlineStr">
        <is>
          <t>In progress</t>
        </is>
      </c>
      <c r="D4" s="13" t="inlineStr">
        <is>
          <t>Edge function</t>
        </is>
      </c>
      <c r="E4" s="13" t="inlineStr">
        <is>
          <t>Play Console</t>
        </is>
      </c>
    </row>
    <row r="5">
      <c r="A5" s="13" t="inlineStr">
        <is>
          <t>Security</t>
        </is>
      </c>
      <c r="B5" s="13" t="inlineStr">
        <is>
          <t>Low</t>
        </is>
      </c>
      <c r="C5" s="13" t="inlineStr">
        <is>
          <t>Needs decision</t>
        </is>
      </c>
      <c r="D5" s="13" t="inlineStr">
        <is>
          <t>App build</t>
        </is>
      </c>
      <c r="E5" s="13" t="inlineStr">
        <is>
          <t>App Review</t>
        </is>
      </c>
    </row>
    <row r="6">
      <c r="A6" s="13" t="inlineStr">
        <is>
          <t>Policy</t>
        </is>
      </c>
      <c r="C6" s="13" t="inlineStr">
        <is>
          <t>Fixed (in code)</t>
        </is>
      </c>
      <c r="D6" s="13" t="inlineStr">
        <is>
          <t>Panel deploy</t>
        </is>
      </c>
      <c r="E6" s="13" t="inlineStr">
        <is>
          <t>QA tester</t>
        </is>
      </c>
    </row>
    <row r="7">
      <c r="A7" s="13" t="inlineStr">
        <is>
          <t>Build/Infra</t>
        </is>
      </c>
      <c r="C7" s="13" t="inlineStr">
        <is>
          <t>Released</t>
        </is>
      </c>
      <c r="D7" s="13" t="inlineStr">
        <is>
          <t>Store / console action</t>
        </is>
      </c>
      <c r="E7" s="13" t="inlineStr">
        <is>
          <t>Panel user</t>
        </is>
      </c>
    </row>
    <row r="8">
      <c r="A8" s="13" t="inlineStr">
        <is>
          <t>Question</t>
        </is>
      </c>
      <c r="C8" s="13" t="inlineStr">
        <is>
          <t>Verified</t>
        </is>
      </c>
      <c r="D8" s="13" t="inlineStr">
        <is>
          <t>Decision</t>
        </is>
      </c>
      <c r="E8" s="13" t="inlineStr">
        <is>
          <t>Investigation</t>
        </is>
      </c>
    </row>
    <row r="9">
      <c r="C9" s="13" t="inlineStr">
        <is>
          <t>Closed</t>
        </is>
      </c>
    </row>
    <row r="10">
      <c r="C10" s="13" t="inlineStr">
        <is>
          <t>Can't reproduce</t>
        </is>
      </c>
    </row>
    <row r="11">
      <c r="C11" s="13" t="inlineStr">
        <is>
          <t>Won't fix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2026-10-05T20:39:32Z</dcterms:created>
  <dcterms:modified xsi:type="dcterms:W3CDTF">2026-10-14T02:14:17Z</dcterms:modified>
</cp:coreProperties>
</file>